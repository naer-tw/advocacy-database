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oachyang/Desktop/倡議追蹤系統/"/>
    </mc:Choice>
  </mc:AlternateContent>
  <xr:revisionPtr revIDLastSave="0" documentId="13_ncr:1_{4B36E62E-60D7-4D47-B5C1-F877DE606BA8}" xr6:coauthVersionLast="47" xr6:coauthVersionMax="47" xr10:uidLastSave="{00000000-0000-0000-0000-000000000000}"/>
  <bookViews>
    <workbookView xWindow="0" yWindow="600" windowWidth="29240" windowHeight="19580" tabRatio="500" xr2:uid="{00000000-000D-0000-FFFF-FFFF00000000}"/>
  </bookViews>
  <sheets>
    <sheet name="新聞稿資料庫" sheetId="1" r:id="rId1"/>
    <sheet name="議題追蹤總覽" sheetId="2" r:id="rId2"/>
    <sheet name="年度月度統計" sheetId="3" r:id="rId3"/>
  </sheets>
  <definedNames>
    <definedName name="_xlnm._FilterDatabase" localSheetId="0" hidden="1">新聞稿資料庫!$A$1:$K$114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3" l="1"/>
  <c r="C13" i="3"/>
  <c r="B13" i="3"/>
  <c r="E13" i="3" s="1"/>
  <c r="D12" i="3"/>
  <c r="C12" i="3"/>
  <c r="B12" i="3"/>
  <c r="E12" i="3" s="1"/>
  <c r="D11" i="3"/>
  <c r="C11" i="3"/>
  <c r="B11" i="3"/>
  <c r="E11" i="3" s="1"/>
  <c r="D10" i="3"/>
  <c r="C10" i="3"/>
  <c r="B10" i="3"/>
  <c r="E10" i="3" s="1"/>
  <c r="D9" i="3"/>
  <c r="C9" i="3"/>
  <c r="B9" i="3"/>
  <c r="E9" i="3" s="1"/>
  <c r="D8" i="3"/>
  <c r="C8" i="3"/>
  <c r="B8" i="3"/>
  <c r="E8" i="3" s="1"/>
  <c r="D7" i="3"/>
  <c r="C7" i="3"/>
  <c r="B7" i="3"/>
  <c r="E7" i="3" s="1"/>
  <c r="D6" i="3"/>
  <c r="C6" i="3"/>
  <c r="B6" i="3"/>
  <c r="E6" i="3" s="1"/>
  <c r="D5" i="3"/>
  <c r="C5" i="3"/>
  <c r="B5" i="3"/>
  <c r="E5" i="3" s="1"/>
  <c r="D4" i="3"/>
  <c r="C4" i="3"/>
  <c r="B4" i="3"/>
  <c r="E4" i="3" s="1"/>
  <c r="D3" i="3"/>
  <c r="C3" i="3"/>
  <c r="B3" i="3"/>
  <c r="E3" i="3" s="1"/>
  <c r="D2" i="3"/>
  <c r="D14" i="3" s="1"/>
  <c r="C2" i="3"/>
  <c r="C14" i="3" s="1"/>
  <c r="B2" i="3"/>
  <c r="E2" i="3" s="1"/>
  <c r="D11" i="2"/>
  <c r="C11" i="2"/>
  <c r="B11" i="2"/>
  <c r="E11" i="2" s="1"/>
  <c r="D10" i="2"/>
  <c r="C10" i="2"/>
  <c r="B10" i="2"/>
  <c r="E10" i="2" s="1"/>
  <c r="D9" i="2"/>
  <c r="C9" i="2"/>
  <c r="B9" i="2"/>
  <c r="E9" i="2" s="1"/>
  <c r="D8" i="2"/>
  <c r="C8" i="2"/>
  <c r="B8" i="2"/>
  <c r="E8" i="2" s="1"/>
  <c r="D7" i="2"/>
  <c r="C7" i="2"/>
  <c r="B7" i="2"/>
  <c r="E7" i="2" s="1"/>
  <c r="D6" i="2"/>
  <c r="C6" i="2"/>
  <c r="B6" i="2"/>
  <c r="E6" i="2" s="1"/>
  <c r="D5" i="2"/>
  <c r="C5" i="2"/>
  <c r="B5" i="2"/>
  <c r="E5" i="2" s="1"/>
  <c r="D4" i="2"/>
  <c r="C4" i="2"/>
  <c r="B4" i="2"/>
  <c r="E4" i="2" s="1"/>
  <c r="D3" i="2"/>
  <c r="C3" i="2"/>
  <c r="B3" i="2"/>
  <c r="E3" i="2" s="1"/>
  <c r="D2" i="2"/>
  <c r="D12" i="2" s="1"/>
  <c r="C2" i="2"/>
  <c r="C12" i="2" s="1"/>
  <c r="B2" i="2"/>
  <c r="B12" i="2" s="1"/>
  <c r="E14" i="3" l="1"/>
  <c r="E2" i="2"/>
  <c r="E12" i="2" s="1"/>
  <c r="B14" i="3"/>
</calcChain>
</file>

<file path=xl/sharedStrings.xml><?xml version="1.0" encoding="utf-8"?>
<sst xmlns="http://schemas.openxmlformats.org/spreadsheetml/2006/main" count="954" uniqueCount="432">
  <si>
    <t>編號</t>
  </si>
  <si>
    <t>年度</t>
  </si>
  <si>
    <t>日期</t>
  </si>
  <si>
    <t>標題</t>
  </si>
  <si>
    <t>議題分類</t>
  </si>
  <si>
    <t>次要議題</t>
  </si>
  <si>
    <t>行動類型</t>
  </si>
  <si>
    <t>訴求對象</t>
  </si>
  <si>
    <t>政府回應</t>
  </si>
  <si>
    <t>新聞露出</t>
  </si>
  <si>
    <t>連結</t>
  </si>
  <si>
    <t>2023</t>
  </si>
  <si>
    <t>2023/03/29</t>
  </si>
  <si>
    <t>七成家長反對刪除懲戒權 管教不是暴力 家長不是兇手 捍衛家長合理管教權 反對缺乏配套的粗暴修法</t>
  </si>
  <si>
    <t>兒少保護</t>
  </si>
  <si>
    <t>新聞稿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</si>
  <si>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</si>
  <si>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20230329</t>
    </r>
    <r>
      <rPr>
        <sz val="11"/>
        <color theme="1"/>
        <rFont val="DejaVu Sans"/>
        <family val="2"/>
      </rPr>
      <t>【國教行動聯盟新聞稿</t>
    </r>
  </si>
  <si>
    <t>2023/05/11</t>
  </si>
  <si>
    <t>有效預防即時輔導降低霸凌傷害 國教盟與橄欖枝中心攜手防制霸凌</t>
  </si>
  <si>
    <t>校園安全</t>
  </si>
  <si>
    <t>無</t>
  </si>
  <si>
    <r>
      <rPr>
        <sz val="11"/>
        <color theme="1"/>
        <rFont val="Calibri"/>
        <family val="2"/>
        <charset val="1"/>
      </rPr>
      <t>20230511</t>
    </r>
    <r>
      <rPr>
        <sz val="11"/>
        <color theme="1"/>
        <rFont val="DejaVu Sans"/>
        <family val="2"/>
      </rPr>
      <t>【國教行動聯盟新聞稿】</t>
    </r>
  </si>
  <si>
    <t>2023/06/20</t>
  </si>
  <si>
    <t>教保人員辛苦了！ 國教盟呼籲家長信任幼教人員 勿因噎廢食、因小失大</t>
  </si>
  <si>
    <t>其他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</si>
  <si>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</si>
  <si>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20230620</t>
    </r>
    <r>
      <rPr>
        <sz val="11"/>
        <color theme="1"/>
        <rFont val="DejaVu Sans"/>
        <family val="2"/>
      </rPr>
      <t>【國教行動聯盟新聞稿】</t>
    </r>
  </si>
  <si>
    <t>2023/06/28</t>
  </si>
  <si>
    <t>有效預防 即時輔導 降低霸凌傷害 國教盟與高雄中山大學攜手防制校園霸凌</t>
  </si>
  <si>
    <r>
      <rPr>
        <sz val="11"/>
        <color theme="1"/>
        <rFont val="Calibri"/>
        <family val="2"/>
        <charset val="1"/>
      </rPr>
      <t>20230628</t>
    </r>
    <r>
      <rPr>
        <sz val="11"/>
        <color theme="1"/>
        <rFont val="DejaVu Sans"/>
        <family val="2"/>
      </rPr>
      <t>【國教行動聯盟新聞稿】</t>
    </r>
  </si>
  <si>
    <t>2023/06/30</t>
  </si>
  <si>
    <t>給他魚吃，不如教他釣魚 提升學生競爭力應優先於學費補貼 教育經費運用應有更精緻化考量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</si>
  <si>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</si>
  <si>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20230630</t>
    </r>
    <r>
      <rPr>
        <sz val="11"/>
        <color theme="1"/>
        <rFont val="DejaVu Sans"/>
        <family val="2"/>
      </rPr>
      <t>【國教行動聯盟新聞稿】</t>
    </r>
  </si>
  <si>
    <t>2023/07/03</t>
  </si>
  <si>
    <t>支持合理管教，拒絕暴力發飆 國教盟呼籲重視家庭教育、家長也應學習求助</t>
  </si>
  <si>
    <r>
      <rPr>
        <sz val="11"/>
        <color theme="1"/>
        <rFont val="Calibri"/>
        <family val="2"/>
        <charset val="1"/>
      </rPr>
      <t>20230703</t>
    </r>
    <r>
      <rPr>
        <sz val="11"/>
        <color theme="1"/>
        <rFont val="DejaVu Sans"/>
        <family val="2"/>
      </rPr>
      <t>【國教行動聯盟新聞稿】</t>
    </r>
  </si>
  <si>
    <t>2023/07/04</t>
  </si>
  <si>
    <r>
      <rPr>
        <sz val="11"/>
        <color theme="1"/>
        <rFont val="DejaVu Sans"/>
        <family val="2"/>
      </rPr>
      <t>【正視大麻趨勢與危害，研商保護青少年對策】 台灣第一次大麻防制論壇！ 青少年大麻防制刻不容緩！ 「</t>
    </r>
    <r>
      <rPr>
        <sz val="11"/>
        <color theme="1"/>
        <rFont val="Calibri"/>
        <family val="2"/>
        <charset val="1"/>
      </rPr>
      <t>2023</t>
    </r>
    <r>
      <rPr>
        <sz val="11"/>
        <color theme="1"/>
        <rFont val="DejaVu Sans"/>
        <family val="2"/>
      </rPr>
      <t>臺灣青少年大麻防制因應對策論壇」</t>
    </r>
  </si>
  <si>
    <t>大麻防制</t>
  </si>
  <si>
    <t>論壇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</si>
  <si>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</si>
  <si>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20230704</t>
    </r>
    <r>
      <rPr>
        <sz val="11"/>
        <color theme="1"/>
        <rFont val="DejaVu Sans"/>
        <family val="2"/>
      </rPr>
      <t>【國教行動聯盟新聞稿】</t>
    </r>
  </si>
  <si>
    <t>2023/07/14</t>
  </si>
  <si>
    <t>肯定性平法修法方向 國教盟提醒仍須重視教育面、 基層學校需更多資源協助</t>
  </si>
  <si>
    <t>青少年性健康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</si>
  <si>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7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</si>
  <si>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20230714</t>
    </r>
    <r>
      <rPr>
        <sz val="11"/>
        <color theme="1"/>
        <rFont val="DejaVu Sans"/>
        <family val="2"/>
      </rPr>
      <t>【國教行動聯盟新聞稿】</t>
    </r>
  </si>
  <si>
    <t>2023/07/29</t>
  </si>
  <si>
    <t>肯定性別平等教育法三讀通過 國教盟提醒配套不足 呼籲對基層學校提供更多資源協助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</si>
  <si>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</si>
  <si>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20230729</t>
    </r>
    <r>
      <rPr>
        <sz val="11"/>
        <color theme="1"/>
        <rFont val="DejaVu Sans"/>
        <family val="2"/>
      </rPr>
      <t>【國教行動聯盟新聞稿】</t>
    </r>
  </si>
  <si>
    <t>2023/08/22</t>
  </si>
  <si>
    <t>霸凌防制座談引發家長熱烈迴響 國教盟與橄欖枝中心、逆風劇團攜手防制校園霸凌</t>
  </si>
  <si>
    <t>座談會</t>
  </si>
  <si>
    <r>
      <rPr>
        <sz val="11"/>
        <color theme="1"/>
        <rFont val="Calibri"/>
        <family val="2"/>
        <charset val="1"/>
      </rPr>
      <t>20230822</t>
    </r>
    <r>
      <rPr>
        <sz val="11"/>
        <color theme="1"/>
        <rFont val="DejaVu Sans"/>
        <family val="2"/>
      </rPr>
      <t>【國教行動聯盟新聞稿】</t>
    </r>
  </si>
  <si>
    <t>2023/08/31</t>
  </si>
  <si>
    <t>霸凌防制修法配套不足 預防及輔導才是重點 呼籲對學校提供法律資源、強化師生互動、建立學生互助網絡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</si>
  <si>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</si>
  <si>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20230831</t>
    </r>
    <r>
      <rPr>
        <sz val="11"/>
        <color theme="1"/>
        <rFont val="DejaVu Sans"/>
        <family val="2"/>
      </rPr>
      <t>【國教行動聯盟新聞稿】</t>
    </r>
  </si>
  <si>
    <t>2023/09/06</t>
  </si>
  <si>
    <r>
      <rPr>
        <sz val="11"/>
        <color theme="1"/>
        <rFont val="DejaVu Sans"/>
        <family val="2"/>
      </rPr>
      <t xml:space="preserve">加熱菸審查欠缺嚴格把關與本土研究 </t>
    </r>
    <r>
      <rPr>
        <sz val="11"/>
        <color theme="1"/>
        <rFont val="Calibri"/>
        <family val="2"/>
        <charset val="1"/>
      </rPr>
      <t>9.5</t>
    </r>
    <r>
      <rPr>
        <sz val="11"/>
        <color theme="1"/>
        <rFont val="DejaVu Sans"/>
        <family val="2"/>
      </rPr>
      <t>萬青少年恐將成受害最大族群</t>
    </r>
  </si>
  <si>
    <t>菸害防制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</si>
  <si>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</si>
  <si>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20230906</t>
    </r>
    <r>
      <rPr>
        <sz val="11"/>
        <color theme="1"/>
        <rFont val="DejaVu Sans"/>
        <family val="2"/>
      </rPr>
      <t>【國教行動聯盟新聞稿】</t>
    </r>
  </si>
  <si>
    <t>2023/10/23</t>
  </si>
  <si>
    <r>
      <rPr>
        <sz val="11"/>
        <color theme="1"/>
        <rFont val="DejaVu Sans"/>
        <family val="2"/>
      </rPr>
      <t>教育決定台灣未來！請問總統：許孩子什麼樣的未來？ 「</t>
    </r>
    <r>
      <rPr>
        <sz val="11"/>
        <color theme="1"/>
        <rFont val="Calibri"/>
        <family val="2"/>
        <charset val="1"/>
      </rPr>
      <t>2024</t>
    </r>
    <r>
      <rPr>
        <sz val="11"/>
        <color theme="1"/>
        <rFont val="DejaVu Sans"/>
        <family val="2"/>
      </rPr>
      <t>年全國家長最關心的十大教育議題」問卷結果出爐！ 孩子的品格教育、校園安全、心理健康最被家長看重！</t>
    </r>
  </si>
  <si>
    <t>心理健康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</si>
  <si>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24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</si>
  <si>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20231023</t>
    </r>
    <r>
      <rPr>
        <sz val="11"/>
        <color theme="1"/>
        <rFont val="DejaVu Sans"/>
        <family val="2"/>
      </rPr>
      <t>【國教行動聯盟新聞稿】</t>
    </r>
  </si>
  <si>
    <t>2023/11/13</t>
  </si>
  <si>
    <t>近四萬問卷九成三不同意大麻合法！ 民間團體呼籲落實反毒教育 釐清大麻迷思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</si>
  <si>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26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</si>
  <si>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20231113</t>
    </r>
    <r>
      <rPr>
        <sz val="11"/>
        <color theme="1"/>
        <rFont val="DejaVu Sans"/>
        <family val="2"/>
      </rPr>
      <t>【國教行動聯盟新聞稿】</t>
    </r>
  </si>
  <si>
    <t>2023/12/07</t>
  </si>
  <si>
    <t>推動友善校園、反霸凌、反歧視 應由增加輔導資源、落實品格與家庭教育做起</t>
  </si>
  <si>
    <r>
      <rPr>
        <sz val="11"/>
        <color theme="1"/>
        <rFont val="Calibri"/>
        <family val="2"/>
        <charset val="1"/>
      </rPr>
      <t>20231207</t>
    </r>
    <r>
      <rPr>
        <sz val="11"/>
        <color theme="1"/>
        <rFont val="DejaVu Sans"/>
        <family val="2"/>
      </rPr>
      <t>【國教行動聯盟新聞稿】</t>
    </r>
  </si>
  <si>
    <t>2023/12/11</t>
  </si>
  <si>
    <r>
      <rPr>
        <sz val="11"/>
        <color theme="1"/>
        <rFont val="DejaVu Sans"/>
        <family val="2"/>
      </rPr>
      <t xml:space="preserve">北一女教師罵課綱引關注 凸顯品格是教育重中之重 </t>
    </r>
    <r>
      <rPr>
        <sz val="11"/>
        <color theme="1"/>
        <rFont val="Calibri"/>
        <family val="2"/>
        <charset val="1"/>
      </rPr>
      <t>59</t>
    </r>
    <r>
      <rPr>
        <sz val="11"/>
        <color theme="1"/>
        <rFont val="DejaVu Sans"/>
        <family val="2"/>
      </rPr>
      <t>教育團體</t>
    </r>
    <r>
      <rPr>
        <sz val="11"/>
        <color theme="1"/>
        <rFont val="Calibri"/>
        <family val="2"/>
        <charset val="1"/>
      </rPr>
      <t>14</t>
    </r>
    <r>
      <rPr>
        <sz val="11"/>
        <color theme="1"/>
        <rFont val="DejaVu Sans"/>
        <family val="2"/>
      </rPr>
      <t>日邀總統候選人談教育理</t>
    </r>
  </si>
  <si>
    <t>教育政策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</si>
  <si>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21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</si>
  <si>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20231211</t>
    </r>
    <r>
      <rPr>
        <sz val="11"/>
        <color theme="1"/>
        <rFont val="DejaVu Sans"/>
        <family val="2"/>
      </rPr>
      <t>【國教行動聯盟新聞稿】</t>
    </r>
  </si>
  <si>
    <t>2023/12/27</t>
  </si>
  <si>
    <t>曝險少年輔導多頭馬車 校園攻擊並非偶然 國教盟呼籲檢討相關制度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</si>
  <si>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28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</si>
  <si>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20231227</t>
    </r>
    <r>
      <rPr>
        <sz val="11"/>
        <color theme="1"/>
        <rFont val="DejaVu Sans"/>
        <family val="2"/>
      </rPr>
      <t>【國教行動聯盟新聞稿】</t>
    </r>
  </si>
  <si>
    <t>2024</t>
  </si>
  <si>
    <t>2024/01/09</t>
  </si>
  <si>
    <t>補保護漏洞 和黑幫搶人 勿讓今日少年犯，成為明日成年犯！ 應確實檢討少保官未發揮效用、少輔會功能限縮問題</t>
  </si>
  <si>
    <r>
      <rPr>
        <sz val="11"/>
        <color theme="1"/>
        <rFont val="Calibri"/>
        <family val="2"/>
        <charset val="1"/>
      </rPr>
      <t>20240109</t>
    </r>
    <r>
      <rPr>
        <sz val="11"/>
        <color theme="1"/>
        <rFont val="DejaVu Sans"/>
        <family val="2"/>
      </rPr>
      <t>【國教行動聯盟新聞稿】</t>
    </r>
  </si>
  <si>
    <t>2024/01/11</t>
  </si>
  <si>
    <t>補校安漏洞 幫非行少年 預防少年殺人事件再度發生 應落實三級處遇輔導、中介教育、三級預防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</si>
  <si>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31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</si>
  <si>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20240111</t>
    </r>
    <r>
      <rPr>
        <sz val="11"/>
        <color theme="1"/>
        <rFont val="DejaVu Sans"/>
        <family val="2"/>
      </rPr>
      <t>【國教行動聯盟新聞稿】</t>
    </r>
  </si>
  <si>
    <t>2024/01/19</t>
  </si>
  <si>
    <t>少年犯罪日益嚴重 新北殺人事件並非偶然 國教盟呼籲檢討相關制度</t>
  </si>
  <si>
    <r>
      <rPr>
        <sz val="11"/>
        <color theme="1"/>
        <rFont val="Calibri"/>
        <family val="2"/>
        <charset val="1"/>
      </rPr>
      <t>20240119</t>
    </r>
    <r>
      <rPr>
        <sz val="11"/>
        <color theme="1"/>
        <rFont val="DejaVu Sans"/>
        <family val="2"/>
      </rPr>
      <t>【國教行動聯盟新聞稿】</t>
    </r>
  </si>
  <si>
    <t>2024/02/03</t>
  </si>
  <si>
    <t>避免今日的非行少年，成為明日的成人罪犯親職教育 國教盟肯定教育部強化校園輔導管教與安檢措施 應落實家庭親職教育，校安輔導人力、中介教育、個管銜接仍待補足</t>
  </si>
  <si>
    <t>教育部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</si>
  <si>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13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</si>
  <si>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20240203</t>
    </r>
    <r>
      <rPr>
        <sz val="11"/>
        <color theme="1"/>
        <rFont val="DejaVu Sans"/>
        <family val="2"/>
      </rPr>
      <t>【國教行動聯盟新聞稿】</t>
    </r>
  </si>
  <si>
    <t>2024/02/24</t>
  </si>
  <si>
    <t>補社安漏洞 幫非行少年 預防少年殺人事件再度發生 建請司法院召集跨院協商會議 確實檢討少年事件處理 暨保護制度</t>
  </si>
  <si>
    <t>司法院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</si>
  <si>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22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</si>
  <si>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20240224</t>
    </r>
    <r>
      <rPr>
        <sz val="11"/>
        <color theme="1"/>
        <rFont val="DejaVu Sans"/>
        <family val="2"/>
      </rPr>
      <t>【國教行動聯盟＆「孩想陪你長大」聯盟聯合新聞稿】</t>
    </r>
  </si>
  <si>
    <t>2024/03/14</t>
  </si>
  <si>
    <r>
      <rPr>
        <sz val="11"/>
        <color theme="1"/>
        <rFont val="DejaVu Sans"/>
        <family val="2"/>
      </rPr>
      <t>家長再爆：菸商不怕罰 昨被稽查今繼續行銷加熱菸 家長團體：依法按次裁罰 每次</t>
    </r>
    <r>
      <rPr>
        <sz val="11"/>
        <color theme="1"/>
        <rFont val="Calibri"/>
        <family val="2"/>
        <charset val="1"/>
      </rPr>
      <t>5,000</t>
    </r>
    <r>
      <rPr>
        <sz val="11"/>
        <color theme="1"/>
        <rFont val="DejaVu Sans"/>
        <family val="2"/>
      </rPr>
      <t>萬元</t>
    </r>
    <r>
      <rPr>
        <sz val="11"/>
        <color theme="1"/>
        <rFont val="Calibri"/>
        <family val="2"/>
        <charset val="1"/>
      </rPr>
      <t>!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</si>
  <si>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19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</si>
  <si>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20240314</t>
    </r>
    <r>
      <rPr>
        <sz val="11"/>
        <color theme="1"/>
        <rFont val="DejaVu Sans"/>
        <family val="2"/>
      </rPr>
      <t>【國教行動聯盟與拒菸盟聯合新聞稿】</t>
    </r>
  </si>
  <si>
    <t>2024/03/19</t>
  </si>
  <si>
    <t>回應立法院教文委員會昨日報告詢答： 少保官未見檢討 曝險少年定義狹隘 中介教育空中樓閣 是真心檢討還是虛晃一招？</t>
  </si>
  <si>
    <t>立法院</t>
  </si>
  <si>
    <r>
      <rPr>
        <sz val="11"/>
        <color theme="1"/>
        <rFont val="Calibri"/>
        <family val="2"/>
        <charset val="1"/>
      </rPr>
      <t>20240319</t>
    </r>
    <r>
      <rPr>
        <sz val="11"/>
        <color theme="1"/>
        <rFont val="DejaVu Sans"/>
        <family val="2"/>
      </rPr>
      <t>【國教行動聯盟新聞稿】</t>
    </r>
  </si>
  <si>
    <t>2024/04/10</t>
  </si>
  <si>
    <r>
      <rPr>
        <sz val="11"/>
        <color theme="1"/>
        <rFont val="DejaVu Sans"/>
        <family val="2"/>
      </rPr>
      <t>回顧</t>
    </r>
    <r>
      <rPr>
        <sz val="11"/>
        <color theme="1"/>
        <rFont val="Calibri"/>
        <family val="2"/>
        <charset val="1"/>
      </rPr>
      <t>410</t>
    </r>
    <r>
      <rPr>
        <sz val="11"/>
        <color theme="1"/>
        <rFont val="DejaVu Sans"/>
        <family val="2"/>
      </rPr>
      <t>教改</t>
    </r>
    <r>
      <rPr>
        <sz val="11"/>
        <color theme="1"/>
        <rFont val="Calibri"/>
        <family val="2"/>
        <charset val="1"/>
      </rPr>
      <t>30</t>
    </r>
    <r>
      <rPr>
        <sz val="11"/>
        <color theme="1"/>
        <rFont val="DejaVu Sans"/>
        <family val="2"/>
      </rPr>
      <t>週年 國教盟期盼深化教育對話 推動教育進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</si>
  <si>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15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</si>
  <si>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20240410</t>
    </r>
    <r>
      <rPr>
        <sz val="11"/>
        <color theme="1"/>
        <rFont val="DejaVu Sans"/>
        <family val="2"/>
      </rPr>
      <t>【國教行動聯盟新聞稿】</t>
    </r>
  </si>
  <si>
    <t>2024/04/12</t>
  </si>
  <si>
    <t>國教盟肯定新內閣教長人選 期盼推動教育精緻化 檢討教育缺失 共推教育進</t>
  </si>
  <si>
    <t>行政院</t>
  </si>
  <si>
    <r>
      <rPr>
        <sz val="11"/>
        <color theme="1"/>
        <rFont val="Calibri"/>
        <family val="2"/>
        <charset val="1"/>
      </rPr>
      <t>20240412</t>
    </r>
    <r>
      <rPr>
        <sz val="11"/>
        <color theme="1"/>
        <rFont val="DejaVu Sans"/>
        <family val="2"/>
      </rPr>
      <t>【國教行動聯盟新聞稿】</t>
    </r>
  </si>
  <si>
    <t>2024/04/17</t>
  </si>
  <si>
    <t>國教盟回應霸凌準則修正： 肯定教育部勇於面對問題 回應民間團體訴求 相關配套措施 應儘速啟動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</si>
  <si>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17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</si>
  <si>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20240417</t>
    </r>
    <r>
      <rPr>
        <sz val="11"/>
        <color theme="1"/>
        <rFont val="DejaVu Sans"/>
        <family val="2"/>
      </rPr>
      <t>【國教行動聯盟新聞稿】</t>
    </r>
  </si>
  <si>
    <t>2024/04/24</t>
  </si>
  <si>
    <t>補校安漏洞 幫非行少年 預防少年殺人事件再度發生 回應學生輔導法修法 國教盟提出三大訴求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</si>
  <si>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25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</si>
  <si>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20240424</t>
    </r>
    <r>
      <rPr>
        <sz val="11"/>
        <color theme="1"/>
        <rFont val="DejaVu Sans"/>
        <family val="2"/>
      </rPr>
      <t>【國教行動聯盟新聞稿】</t>
    </r>
  </si>
  <si>
    <t>2024/05/01</t>
  </si>
  <si>
    <t>回應國中小學生獎懲準則發布 國教盟提出三大疑慮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</si>
  <si>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60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</si>
  <si>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20240501</t>
    </r>
    <r>
      <rPr>
        <sz val="11"/>
        <color theme="1"/>
        <rFont val="DejaVu Sans"/>
        <family val="2"/>
      </rPr>
      <t>【國教行動聯盟新聞稿】</t>
    </r>
  </si>
  <si>
    <t>2024/05/30</t>
  </si>
  <si>
    <t>回應鄭英耀部長提出課綱微調 國教盟表達對課綱三大訴求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</si>
  <si>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33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</si>
  <si>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20240530</t>
    </r>
    <r>
      <rPr>
        <sz val="11"/>
        <color theme="1"/>
        <rFont val="DejaVu Sans"/>
        <family val="2"/>
      </rPr>
      <t>【國教行動聯盟新聞稿】</t>
    </r>
  </si>
  <si>
    <t>2024/06/06</t>
  </si>
  <si>
    <r>
      <rPr>
        <sz val="11"/>
        <color theme="1"/>
        <rFont val="DejaVu Sans"/>
        <family val="2"/>
      </rPr>
      <t xml:space="preserve">菸商要求速審開放加熱菸 </t>
    </r>
    <r>
      <rPr>
        <sz val="11"/>
        <color theme="1"/>
        <rFont val="Calibri"/>
        <family val="2"/>
        <charset val="1"/>
      </rPr>
      <t>~</t>
    </r>
    <r>
      <rPr>
        <sz val="11"/>
        <color theme="1"/>
        <rFont val="DejaVu Sans"/>
        <family val="2"/>
      </rPr>
      <t xml:space="preserve">目標鎖定百萬台灣年輕人 </t>
    </r>
    <r>
      <rPr>
        <sz val="11"/>
        <color theme="1"/>
        <rFont val="Calibri"/>
        <family val="2"/>
        <charset val="1"/>
      </rPr>
      <t xml:space="preserve">?! </t>
    </r>
    <r>
      <rPr>
        <sz val="11"/>
        <color theme="1"/>
        <rFont val="DejaVu Sans"/>
        <family val="2"/>
      </rPr>
      <t>「減害」「避免黑市、走私」「損失菸捐 稅收」是誤導說法 台灣拒菸聯盟：衛福部職責是維護國人健康 應依法確實管控加熱菸！</t>
    </r>
  </si>
  <si>
    <t>衛福部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</si>
  <si>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20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</si>
  <si>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20240606</t>
    </r>
    <r>
      <rPr>
        <sz val="11"/>
        <color theme="1"/>
        <rFont val="DejaVu Sans"/>
        <family val="2"/>
      </rPr>
      <t>【國教行動聯盟新聞稿】</t>
    </r>
  </si>
  <si>
    <t>2024/06/14</t>
  </si>
  <si>
    <t>台灣需要什麼樣的性教育？ 家長本土化性教育問卷結果出爐！ 支持「全面性教育」應適當調整以符合本土需求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</si>
  <si>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27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</si>
  <si>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20240614</t>
    </r>
    <r>
      <rPr>
        <sz val="11"/>
        <color theme="1"/>
        <rFont val="DejaVu Sans"/>
        <family val="2"/>
      </rPr>
      <t>【國教行動聯盟新聞稿】</t>
    </r>
  </si>
  <si>
    <t>2024/07/09</t>
  </si>
  <si>
    <t>補校安漏洞 幫非行少年 預防少年殺人事件再度發生 肯定學生輔導法修法符合期待 將有助防制校園霸凌、提升心理健康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</si>
  <si>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16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</si>
  <si>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20240709</t>
    </r>
    <r>
      <rPr>
        <sz val="11"/>
        <color theme="1"/>
        <rFont val="DejaVu Sans"/>
        <family val="2"/>
      </rPr>
      <t>【國教行動聯盟新聞稿】</t>
    </r>
  </si>
  <si>
    <t>2024/07/17</t>
  </si>
  <si>
    <t>電子煙氾濫是毒駕男撞死三重警背後主因 煙毒不分家 徹底禁絕電子煙才是根本之</t>
  </si>
  <si>
    <r>
      <rPr>
        <sz val="11"/>
        <color theme="1"/>
        <rFont val="Calibri"/>
        <family val="2"/>
        <charset val="1"/>
      </rPr>
      <t>20240717</t>
    </r>
    <r>
      <rPr>
        <sz val="11"/>
        <color theme="1"/>
        <rFont val="DejaVu Sans"/>
        <family val="2"/>
      </rPr>
      <t>【國教行動聯盟新聞稿】</t>
    </r>
  </si>
  <si>
    <t>2024/08/30</t>
  </si>
  <si>
    <t>推翻前朝承諾？ 司法院、行政院少事會議決議迄未落實 國教盟呼籲應痛定思痛 不要讓下一個少年喪命</t>
  </si>
  <si>
    <t>司法院、行政院</t>
  </si>
  <si>
    <r>
      <rPr>
        <sz val="11"/>
        <color theme="1"/>
        <rFont val="Calibri"/>
        <family val="2"/>
        <charset val="1"/>
      </rPr>
      <t>20240830</t>
    </r>
    <r>
      <rPr>
        <sz val="11"/>
        <color theme="1"/>
        <rFont val="DejaVu Sans"/>
        <family val="2"/>
      </rPr>
      <t>【國教行動聯盟新聞稿】</t>
    </r>
  </si>
  <si>
    <t>2024/09/06</t>
  </si>
  <si>
    <r>
      <rPr>
        <sz val="11"/>
        <color theme="1"/>
        <rFont val="Calibri"/>
        <family val="2"/>
        <charset val="1"/>
      </rPr>
      <t>AI</t>
    </r>
    <r>
      <rPr>
        <sz val="11"/>
        <color theme="1"/>
        <rFont val="DejaVu Sans"/>
        <family val="2"/>
      </rPr>
      <t>使用疑慮風險高 切勿操之過及 教育部應先建立倫理規範 避免未蒙其利先受其害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</si>
  <si>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23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</si>
  <si>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20240906</t>
    </r>
    <r>
      <rPr>
        <sz val="11"/>
        <color theme="1"/>
        <rFont val="DejaVu Sans"/>
        <family val="2"/>
      </rPr>
      <t>【國教行動聯盟新聞稿】</t>
    </r>
  </si>
  <si>
    <t>2024/09/20</t>
  </si>
  <si>
    <r>
      <rPr>
        <sz val="11"/>
        <color theme="1"/>
        <rFont val="DejaVu Sans"/>
        <family val="2"/>
      </rPr>
      <t>新北割頸案凸顯少保調 查官角色衝突 人力長期不足 保護缺乏力度 國教盟呼籲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DejaVu Sans"/>
        <family val="2"/>
      </rPr>
      <t>勿讓「假人權」保護傘成為犯罪溫床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</si>
  <si>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14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</si>
  <si>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20240920</t>
    </r>
    <r>
      <rPr>
        <sz val="11"/>
        <color theme="1"/>
        <rFont val="DejaVu Sans"/>
        <family val="2"/>
      </rPr>
      <t>【國教行動聯盟新聞稿】</t>
    </r>
  </si>
  <si>
    <t>2024/09/24</t>
  </si>
  <si>
    <t>蠟瓶糖之亂 光下架不是解決之道 應建立完整的報關與查驗機制 並強化食安教育 保護兒少健康與消費權益</t>
  </si>
  <si>
    <t>青年參與</t>
  </si>
  <si>
    <r>
      <rPr>
        <sz val="11"/>
        <color theme="1"/>
        <rFont val="Calibri"/>
        <family val="2"/>
        <charset val="1"/>
      </rPr>
      <t>20240924</t>
    </r>
    <r>
      <rPr>
        <sz val="11"/>
        <color theme="1"/>
        <rFont val="DejaVu Sans"/>
        <family val="2"/>
      </rPr>
      <t>【國教行動聯盟青年部新聞稿】</t>
    </r>
  </si>
  <si>
    <t>2024/09/27</t>
  </si>
  <si>
    <t>教師節教師不快樂，表單填寫成為教師噩夢 國教盟強烈要求：行政減量應有實際作為</t>
  </si>
  <si>
    <r>
      <rPr>
        <sz val="11"/>
        <color theme="1"/>
        <rFont val="Calibri"/>
        <family val="2"/>
        <charset val="1"/>
      </rPr>
      <t>20240927</t>
    </r>
    <r>
      <rPr>
        <sz val="11"/>
        <color theme="1"/>
        <rFont val="DejaVu Sans"/>
        <family val="2"/>
      </rPr>
      <t>【國教行動聯盟新聞稿】</t>
    </r>
  </si>
  <si>
    <t>2024/09/30</t>
  </si>
  <si>
    <t>國教盟聲援楊生父親 向立委遞交十大訴求： 呼籲檢討少年事件處理漏洞，拒 絕再有無辜少年犧牲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</si>
  <si>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54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</si>
  <si>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20240930</t>
    </r>
    <r>
      <rPr>
        <sz val="11"/>
        <color theme="1"/>
        <rFont val="DejaVu Sans"/>
        <family val="2"/>
      </rPr>
      <t>【國教行動聯盟新聞稿】</t>
    </r>
  </si>
  <si>
    <t>2024/10/09</t>
  </si>
  <si>
    <t>「世界心理健康日」公布職場心理健康調 查 七成六認工作壓力危害心理健康 九成五支持彈性工時 國教盟呼籲政府強化職場心理健康相關政策</t>
  </si>
  <si>
    <r>
      <rPr>
        <sz val="11"/>
        <color theme="1"/>
        <rFont val="Calibri"/>
        <family val="2"/>
        <charset val="1"/>
      </rPr>
      <t>20241009</t>
    </r>
    <r>
      <rPr>
        <sz val="11"/>
        <color theme="1"/>
        <rFont val="DejaVu Sans"/>
        <family val="2"/>
      </rPr>
      <t>【國教行動聯盟新聞稿】</t>
    </r>
  </si>
  <si>
    <t>2024/10/17</t>
  </si>
  <si>
    <r>
      <rPr>
        <sz val="11"/>
        <color theme="1"/>
        <rFont val="DejaVu Sans"/>
        <family val="2"/>
      </rPr>
      <t>國際專家認證</t>
    </r>
    <r>
      <rPr>
        <sz val="11"/>
        <color theme="1"/>
        <rFont val="Calibri"/>
        <family val="2"/>
        <charset val="1"/>
      </rPr>
      <t>3C</t>
    </r>
    <r>
      <rPr>
        <sz val="11"/>
        <color theme="1"/>
        <rFont val="DejaVu Sans"/>
        <family val="2"/>
      </rPr>
      <t>成癮危害兒少大腦與情緒發展 國教盟呼籲正視「小烏龜世代」危機</t>
    </r>
  </si>
  <si>
    <r>
      <rPr>
        <sz val="11"/>
        <color theme="1"/>
        <rFont val="Calibri"/>
        <family val="2"/>
        <charset val="1"/>
      </rPr>
      <t>20241017</t>
    </r>
    <r>
      <rPr>
        <sz val="11"/>
        <color theme="1"/>
        <rFont val="DejaVu Sans"/>
        <family val="2"/>
      </rPr>
      <t>【國教行動聯盟新聞稿】</t>
    </r>
  </si>
  <si>
    <t>2024/10/19</t>
  </si>
  <si>
    <r>
      <rPr>
        <sz val="11"/>
        <color theme="1"/>
        <rFont val="DejaVu Sans"/>
        <family val="2"/>
      </rPr>
      <t>電子煙隱患釀慘劇！</t>
    </r>
    <r>
      <rPr>
        <sz val="11"/>
        <color theme="1"/>
        <rFont val="Calibri"/>
        <family val="2"/>
        <charset val="1"/>
      </rPr>
      <t>15</t>
    </r>
    <r>
      <rPr>
        <sz val="11"/>
        <color theme="1"/>
        <rFont val="DejaVu Sans"/>
        <family val="2"/>
      </rPr>
      <t>歲少年無照駕駛奪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DejaVu Sans"/>
        <family val="2"/>
      </rPr>
      <t>命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>揭露青少年健康與社會風險！</t>
    </r>
  </si>
  <si>
    <r>
      <rPr>
        <sz val="11"/>
        <color theme="1"/>
        <rFont val="Calibri"/>
        <family val="2"/>
        <charset val="1"/>
      </rPr>
      <t>20241019</t>
    </r>
    <r>
      <rPr>
        <sz val="11"/>
        <color theme="1"/>
        <rFont val="DejaVu Sans"/>
        <family val="2"/>
      </rPr>
      <t>【國教行動聯盟聯合新聞稿】</t>
    </r>
  </si>
  <si>
    <t>2024/10/21</t>
  </si>
  <si>
    <t>煙毒不分家！電子煙載具已成吸毒工具 衛福部對新興菸品查緝不力是主因</t>
  </si>
  <si>
    <r>
      <rPr>
        <sz val="11"/>
        <color theme="1"/>
        <rFont val="Calibri"/>
        <family val="2"/>
        <charset val="1"/>
      </rPr>
      <t>20241021</t>
    </r>
    <r>
      <rPr>
        <sz val="11"/>
        <color theme="1"/>
        <rFont val="DejaVu Sans"/>
        <family val="2"/>
      </rPr>
      <t>【國教行動聯盟新聞稿】</t>
    </r>
  </si>
  <si>
    <t>2024/11/05</t>
  </si>
  <si>
    <t>「校園電子煙防制遇困境：缺乏檢測設備與懲戒標準不一」 國教盟呼籲儘速改善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</si>
  <si>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34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</si>
  <si>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20241105</t>
    </r>
    <r>
      <rPr>
        <sz val="11"/>
        <color theme="1"/>
        <rFont val="DejaVu Sans"/>
        <family val="2"/>
      </rPr>
      <t>【國教行動聯盟新聞稿】</t>
    </r>
  </si>
  <si>
    <t>2024/11/07</t>
  </si>
  <si>
    <t>美籍性罪犯入境後行蹤成謎，家長群組炸鍋 國教盟呼籲政府應立即解密傳達全民！</t>
  </si>
  <si>
    <r>
      <rPr>
        <sz val="11"/>
        <color theme="1"/>
        <rFont val="Calibri"/>
        <family val="2"/>
        <charset val="1"/>
      </rPr>
      <t>20241107</t>
    </r>
    <r>
      <rPr>
        <sz val="11"/>
        <color theme="1"/>
        <rFont val="DejaVu Sans"/>
        <family val="2"/>
      </rPr>
      <t>【國教行動聯盟新聞稿】</t>
    </r>
  </si>
  <si>
    <t>2024/11/08</t>
  </si>
  <si>
    <t>電子煙毒防制大作戰 應全面升級、投入資源！ 國教盟建議推動四大重點措施</t>
  </si>
  <si>
    <r>
      <rPr>
        <sz val="11"/>
        <color theme="1"/>
        <rFont val="Calibri"/>
        <family val="2"/>
        <charset val="1"/>
      </rPr>
      <t>20241108</t>
    </r>
    <r>
      <rPr>
        <sz val="11"/>
        <color theme="1"/>
        <rFont val="DejaVu Sans"/>
        <family val="2"/>
      </rPr>
      <t>【國教行動聯盟新聞稿】</t>
    </r>
  </si>
  <si>
    <t>2024/11/29</t>
  </si>
  <si>
    <t>家長懲戒權等於暴力虐待？ 七成家長反對粗暴修法：政府在踐踏親權！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</si>
  <si>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30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</si>
  <si>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20241129</t>
    </r>
    <r>
      <rPr>
        <sz val="11"/>
        <color theme="1"/>
        <rFont val="DejaVu Sans"/>
        <family val="2"/>
      </rPr>
      <t>【國教行動聯盟新聞稿】</t>
    </r>
  </si>
  <si>
    <t>肯定學生輔導法修法回應教育現場需求 國教盟呼籲應儘速落實相關配</t>
  </si>
  <si>
    <t>2024/12/03</t>
  </si>
  <si>
    <r>
      <rPr>
        <sz val="11"/>
        <color theme="1"/>
        <rFont val="DejaVu Sans"/>
        <family val="2"/>
      </rPr>
      <t xml:space="preserve">校安通報暴力與偏差行為事件國小占 </t>
    </r>
    <r>
      <rPr>
        <sz val="11"/>
        <color theme="1"/>
        <rFont val="Calibri"/>
        <family val="2"/>
        <charset val="1"/>
      </rPr>
      <t>34%</t>
    </r>
    <r>
      <rPr>
        <sz val="11"/>
        <color theme="1"/>
        <rFont val="DejaVu Sans"/>
        <family val="2"/>
      </rPr>
      <t>、管教衝突占</t>
    </r>
    <r>
      <rPr>
        <sz val="11"/>
        <color theme="1"/>
        <rFont val="Calibri"/>
        <family val="2"/>
        <charset val="1"/>
      </rPr>
      <t>45%</t>
    </r>
    <r>
      <rPr>
        <sz val="11"/>
        <color theme="1"/>
        <rFont val="DejaVu Sans"/>
        <family val="2"/>
      </rPr>
      <t>， 台中事件揭示校園安全危機與困境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</si>
  <si>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29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</si>
  <si>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20241203</t>
    </r>
    <r>
      <rPr>
        <sz val="11"/>
        <color theme="1"/>
        <rFont val="DejaVu Sans"/>
        <family val="2"/>
      </rPr>
      <t>【國教行動聯盟新聞稿】</t>
    </r>
  </si>
  <si>
    <t>2024/12/10</t>
  </si>
  <si>
    <t>青少年吸菸報告疑點重重：加熱菸數據消失，國健署刻意隱匿？ 國教行動聯盟譴責拒菸政策推動停滯不前</t>
  </si>
  <si>
    <r>
      <rPr>
        <sz val="11"/>
        <color theme="1"/>
        <rFont val="Calibri"/>
        <family val="2"/>
        <charset val="1"/>
      </rPr>
      <t>20241210</t>
    </r>
    <r>
      <rPr>
        <sz val="11"/>
        <color theme="1"/>
        <rFont val="DejaVu Sans"/>
        <family val="2"/>
      </rPr>
      <t>【國教行動聯盟新聞稿】</t>
    </r>
  </si>
  <si>
    <t>健康台灣從學童健康開始！ 專家家長齊呼：乳品政策要配套不要倒退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</si>
  <si>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</si>
  <si>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20241210</t>
    </r>
    <r>
      <rPr>
        <sz val="11"/>
        <color theme="1"/>
        <rFont val="DejaVu Sans"/>
        <family val="2"/>
      </rPr>
      <t>【董氏基金會與國教盟聯合新聞稿】</t>
    </r>
  </si>
  <si>
    <t>2024/12/11</t>
  </si>
  <si>
    <r>
      <rPr>
        <sz val="11"/>
        <color theme="1"/>
        <rFont val="DejaVu Sans"/>
        <family val="2"/>
      </rPr>
      <t xml:space="preserve">「這世代的心聲」 </t>
    </r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DejaVu Sans"/>
        <family val="2"/>
      </rPr>
      <t>台灣青年十大議題調查開跑！</t>
    </r>
  </si>
  <si>
    <r>
      <rPr>
        <sz val="11"/>
        <color theme="1"/>
        <rFont val="Calibri"/>
        <family val="2"/>
        <charset val="1"/>
      </rPr>
      <t>20241211</t>
    </r>
    <r>
      <rPr>
        <sz val="11"/>
        <color theme="1"/>
        <rFont val="DejaVu Sans"/>
        <family val="2"/>
      </rPr>
      <t>【國教行動聯盟青年部新聞稿】</t>
    </r>
  </si>
  <si>
    <t>2024/12/13</t>
  </si>
  <si>
    <t>從蠟瓶糖到痘痘雞：廉價玩具再現監管漏洞，家長如何不擔心？ 國教盟呼籲：加強檢驗與教育宣導、落實網路平台責任</t>
  </si>
  <si>
    <r>
      <rPr>
        <sz val="11"/>
        <color theme="1"/>
        <rFont val="Calibri"/>
        <family val="2"/>
        <charset val="1"/>
      </rPr>
      <t>20241213</t>
    </r>
    <r>
      <rPr>
        <sz val="11"/>
        <color theme="1"/>
        <rFont val="DejaVu Sans"/>
        <family val="2"/>
      </rPr>
      <t>【國教行動聯盟青年部新聞稿】</t>
    </r>
  </si>
  <si>
    <t>2024/12/23</t>
  </si>
  <si>
    <r>
      <rPr>
        <sz val="11"/>
        <color theme="1"/>
        <rFont val="DejaVu Sans"/>
        <family val="2"/>
      </rPr>
      <t>回應立法院「因應數位時代， 啟動性別平等教育</t>
    </r>
    <r>
      <rPr>
        <sz val="11"/>
        <color theme="1"/>
        <rFont val="Calibri"/>
        <family val="2"/>
        <charset val="1"/>
      </rPr>
      <t>2.0</t>
    </r>
    <r>
      <rPr>
        <sz val="11"/>
        <color theme="1"/>
        <rFont val="DejaVu Sans"/>
        <family val="2"/>
      </rPr>
      <t>」公聽會 性別平等教育</t>
    </r>
    <r>
      <rPr>
        <sz val="11"/>
        <color theme="1"/>
        <rFont val="Calibri"/>
        <family val="2"/>
        <charset val="1"/>
      </rPr>
      <t>2.0</t>
    </r>
    <r>
      <rPr>
        <sz val="11"/>
        <color theme="1"/>
        <rFont val="DejaVu Sans"/>
        <family val="2"/>
      </rPr>
      <t>引領變革 國教盟呼籲打造親師生協作的本土性教育</t>
    </r>
  </si>
  <si>
    <t>公聽會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</si>
  <si>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</si>
  <si>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20241223</t>
    </r>
    <r>
      <rPr>
        <sz val="11"/>
        <color theme="1"/>
        <rFont val="DejaVu Sans"/>
        <family val="2"/>
      </rPr>
      <t>【國教行動聯盟新聞稿】</t>
    </r>
  </si>
  <si>
    <t>2024/12/25</t>
  </si>
  <si>
    <t>割頸案周年 改革刻不容緩 政策停滯不前 別再讓家庭在聖誕節少一人！</t>
  </si>
  <si>
    <r>
      <rPr>
        <sz val="11"/>
        <color theme="1"/>
        <rFont val="Calibri"/>
        <family val="2"/>
        <charset val="1"/>
      </rPr>
      <t>20241225</t>
    </r>
    <r>
      <rPr>
        <sz val="11"/>
        <color theme="1"/>
        <rFont val="DejaVu Sans"/>
        <family val="2"/>
      </rPr>
      <t>【國教行動聯盟新聞稿】</t>
    </r>
  </si>
  <si>
    <t>2025</t>
  </si>
  <si>
    <t>2025/01/02</t>
  </si>
  <si>
    <t>落實「健康台灣」願景 保障兒童健康未來 全國教育團體緊急呼籲行政院重新 啟動「生生喝國產乳」計畫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</si>
  <si>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42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</si>
  <si>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20250102</t>
    </r>
    <r>
      <rPr>
        <sz val="11"/>
        <color theme="1"/>
        <rFont val="DejaVu Sans"/>
        <family val="2"/>
      </rPr>
      <t>【國教行動聯盟新聞稿】</t>
    </r>
  </si>
  <si>
    <t>2025/01/09</t>
  </si>
  <si>
    <t>公聽會家長聲音缺席，如何落實兒童最佳利益？ 國教盟訴求政策缺失並提出修法建議</t>
  </si>
  <si>
    <r>
      <rPr>
        <sz val="11"/>
        <color theme="1"/>
        <rFont val="Calibri"/>
        <family val="2"/>
        <charset val="1"/>
      </rPr>
      <t>20250109</t>
    </r>
    <r>
      <rPr>
        <sz val="11"/>
        <color theme="1"/>
        <rFont val="DejaVu Sans"/>
        <family val="2"/>
      </rPr>
      <t>【國教行動聯盟新聞稿】</t>
    </r>
  </si>
  <si>
    <t>2025/01/10</t>
  </si>
  <si>
    <t>菸防法修法兩週年 台灣加熱菸、加味菸管制陷入困境！ 家長團體強烈呼籲政府應堅持立場 守護年輕人健康！</t>
  </si>
  <si>
    <r>
      <rPr>
        <sz val="11"/>
        <color theme="1"/>
        <rFont val="Calibri"/>
        <family val="2"/>
        <charset val="1"/>
      </rPr>
      <t>20250110</t>
    </r>
    <r>
      <rPr>
        <sz val="11"/>
        <color theme="1"/>
        <rFont val="DejaVu Sans"/>
        <family val="2"/>
      </rPr>
      <t>【國教行動聯盟新聞稿】</t>
    </r>
  </si>
  <si>
    <t>2025/01/13</t>
  </si>
  <si>
    <r>
      <rPr>
        <sz val="11"/>
        <color theme="1"/>
        <rFont val="DejaVu Sans"/>
        <family val="2"/>
      </rPr>
      <t>青少年每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DejaVu Sans"/>
        <family val="2"/>
      </rPr>
      <t>萬人有</t>
    </r>
    <r>
      <rPr>
        <sz val="11"/>
        <color theme="1"/>
        <rFont val="Calibri"/>
        <family val="2"/>
        <charset val="1"/>
      </rPr>
      <t>50.34</t>
    </r>
    <r>
      <rPr>
        <sz val="11"/>
        <color theme="1"/>
        <rFont val="DejaVu Sans"/>
        <family val="2"/>
      </rPr>
      <t xml:space="preserve">人感染 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DejaVu Sans"/>
        <family val="2"/>
      </rPr>
      <t>年來淋病暴增七倍 國教盟呼籲衛福部應立即採取行動回應青少年性健康危機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</si>
  <si>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40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</si>
  <si>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20250113</t>
    </r>
    <r>
      <rPr>
        <sz val="11"/>
        <color theme="1"/>
        <rFont val="DejaVu Sans"/>
        <family val="2"/>
      </rPr>
      <t>【國教行動聯盟新聞稿】</t>
    </r>
  </si>
  <si>
    <t>2025/01/15</t>
  </si>
  <si>
    <r>
      <rPr>
        <sz val="11"/>
        <color theme="1"/>
        <rFont val="DejaVu Sans"/>
        <family val="2"/>
      </rPr>
      <t>青少女梅毒病例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DejaVu Sans"/>
        <family val="2"/>
      </rPr>
      <t>年增長</t>
    </r>
    <r>
      <rPr>
        <sz val="11"/>
        <color theme="1"/>
        <rFont val="Calibri"/>
        <family val="2"/>
        <charset val="1"/>
      </rPr>
      <t>53</t>
    </r>
    <r>
      <rPr>
        <sz val="11"/>
        <color theme="1"/>
        <rFont val="DejaVu Sans"/>
        <family val="2"/>
      </rPr>
      <t>倍，性病低齡化問題浮現 國教盟與三黨立委緊急呼籲：青少年性病防治刻不容緩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</si>
  <si>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71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</si>
  <si>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20250115</t>
    </r>
    <r>
      <rPr>
        <sz val="11"/>
        <color theme="1"/>
        <rFont val="DejaVu Sans"/>
        <family val="2"/>
      </rPr>
      <t>【國教行動聯盟新聞稿】</t>
    </r>
  </si>
  <si>
    <t>2025/01/17</t>
  </si>
  <si>
    <r>
      <rPr>
        <sz val="11"/>
        <color theme="1"/>
        <rFont val="DejaVu Sans"/>
        <family val="2"/>
      </rPr>
      <t>小學三年級染性病是怎麼回事？ 青少年性病暴增是「</t>
    </r>
    <r>
      <rPr>
        <sz val="11"/>
        <color theme="1"/>
        <rFont val="Calibri"/>
        <family val="2"/>
        <charset val="1"/>
      </rPr>
      <t>PrEP</t>
    </r>
    <r>
      <rPr>
        <sz val="11"/>
        <color theme="1"/>
        <rFont val="DejaVu Sans"/>
        <family val="2"/>
      </rPr>
      <t xml:space="preserve">計畫篩檢」的結果？ 國教盟質疑疾管署：數據真相不容粉飾 </t>
    </r>
    <r>
      <rPr>
        <sz val="11"/>
        <color theme="1"/>
        <rFont val="Calibri"/>
        <family val="2"/>
        <charset val="1"/>
      </rPr>
      <t>!</t>
    </r>
    <r>
      <rPr>
        <sz val="11"/>
        <color theme="1"/>
        <rFont val="DejaVu Sans"/>
        <family val="2"/>
      </rPr>
      <t>別再模糊焦點！</t>
    </r>
  </si>
  <si>
    <r>
      <rPr>
        <sz val="11"/>
        <color theme="1"/>
        <rFont val="Calibri"/>
        <family val="2"/>
        <charset val="1"/>
      </rPr>
      <t>20250117</t>
    </r>
    <r>
      <rPr>
        <sz val="11"/>
        <color theme="1"/>
        <rFont val="DejaVu Sans"/>
        <family val="2"/>
      </rPr>
      <t>【國教行動聯盟新聞稿】</t>
    </r>
  </si>
  <si>
    <t>2025/01/21</t>
  </si>
  <si>
    <r>
      <rPr>
        <sz val="11"/>
        <color theme="1"/>
        <rFont val="DejaVu Sans"/>
        <family val="2"/>
      </rPr>
      <t>全台首次！</t>
    </r>
    <r>
      <rPr>
        <sz val="11"/>
        <color theme="1"/>
        <rFont val="Calibri"/>
        <family val="2"/>
        <charset val="1"/>
      </rPr>
      <t xml:space="preserve">8743 </t>
    </r>
    <r>
      <rPr>
        <sz val="11"/>
        <color theme="1"/>
        <rFont val="DejaVu Sans"/>
        <family val="2"/>
      </rPr>
      <t>份問卷揭示「這世代的心聲」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DejaVu Sans"/>
        <family val="2"/>
      </rPr>
      <t>國教盟青年部公布「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DejaVu Sans"/>
        <family val="2"/>
      </rPr>
      <t>年台灣青少年最關心的十大議題」調 查結果！ 從假訊息防治到校園安全，為弟弟妹妹點亮成長的契機</t>
    </r>
  </si>
  <si>
    <r>
      <rPr>
        <sz val="11"/>
        <color theme="1"/>
        <rFont val="Calibri"/>
        <family val="2"/>
        <charset val="1"/>
      </rPr>
      <t>20250121</t>
    </r>
    <r>
      <rPr>
        <sz val="11"/>
        <color theme="1"/>
        <rFont val="DejaVu Sans"/>
        <family val="2"/>
      </rPr>
      <t>【國教行動聯盟青年部新聞稿】</t>
    </r>
  </si>
  <si>
    <t>2025/01/22</t>
  </si>
  <si>
    <r>
      <rPr>
        <sz val="11"/>
        <color theme="1"/>
        <rFont val="Calibri"/>
        <family val="2"/>
        <charset val="1"/>
      </rPr>
      <t>2024</t>
    </r>
    <r>
      <rPr>
        <sz val="11"/>
        <color theme="1"/>
        <rFont val="DejaVu Sans"/>
        <family val="2"/>
      </rPr>
      <t>台灣十大性與情感教育新聞事件出爐！ 「健康台灣」不「性」福 健康安全亮紅燈 營造健康親密關係，十項警訊務必注意！ —校長、教師、家長、醫師、公衛學者、 心理學家與家庭教育工作者攜手發聲，推動青少年健康與安全未來！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</si>
  <si>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</si>
  <si>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20250122</t>
    </r>
    <r>
      <rPr>
        <sz val="11"/>
        <color theme="1"/>
        <rFont val="DejaVu Sans"/>
        <family val="2"/>
      </rPr>
      <t>【國教行動聯盟、台灣性教育學會、
華人情感教育發展協會 聯合新聞稿】</t>
    </r>
  </si>
  <si>
    <t>2025/01/26</t>
  </si>
  <si>
    <t>別讓加熱菸毀了你的假期！ 年節出國帶加熱菸回台 自用送禮代購都違法 加熱菸無法幫助戒菸 一樣傷身有成癮危害</t>
  </si>
  <si>
    <r>
      <rPr>
        <sz val="11"/>
        <color theme="1"/>
        <rFont val="Calibri"/>
        <family val="2"/>
        <charset val="1"/>
      </rPr>
      <t>20250126</t>
    </r>
    <r>
      <rPr>
        <sz val="11"/>
        <color theme="1"/>
        <rFont val="DejaVu Sans"/>
        <family val="2"/>
      </rPr>
      <t>【國教行動聯盟新聞稿】</t>
    </r>
  </si>
  <si>
    <t>2025/02/13</t>
  </si>
  <si>
    <t>徒法不足以自行 兒少權法修法恐適得其反？ 國教盟：強化家庭與教育支持才是關鍵！</t>
  </si>
  <si>
    <r>
      <rPr>
        <sz val="11"/>
        <color theme="1"/>
        <rFont val="Calibri"/>
        <family val="2"/>
        <charset val="1"/>
      </rPr>
      <t>20250213</t>
    </r>
    <r>
      <rPr>
        <sz val="11"/>
        <color theme="1"/>
        <rFont val="DejaVu Sans"/>
        <family val="2"/>
      </rPr>
      <t>【國教行動聯盟新聞稿】</t>
    </r>
  </si>
  <si>
    <t>2025/02/14</t>
  </si>
  <si>
    <r>
      <rPr>
        <sz val="11"/>
        <color theme="1"/>
        <rFont val="DejaVu Sans"/>
        <family val="2"/>
      </rPr>
      <t xml:space="preserve">情人節賴清德總統承諾跳票？ 罔顧青少年成癮危機？「健康台灣」淪為空談？ 菸防法公布屆滿兩年 請衛福部立即公告「全面禁止加味菸」 </t>
    </r>
    <r>
      <rPr>
        <sz val="11"/>
        <color theme="1"/>
        <rFont val="Calibri"/>
        <family val="2"/>
        <charset val="1"/>
      </rPr>
      <t>!</t>
    </r>
  </si>
  <si>
    <r>
      <rPr>
        <sz val="11"/>
        <color theme="1"/>
        <rFont val="Calibri"/>
        <family val="2"/>
        <charset val="1"/>
      </rPr>
      <t>20250214</t>
    </r>
    <r>
      <rPr>
        <sz val="11"/>
        <color theme="1"/>
        <rFont val="DejaVu Sans"/>
        <family val="2"/>
      </rPr>
      <t>【國教行動聯盟新聞稿】</t>
    </r>
  </si>
  <si>
    <t>2025/02/20</t>
  </si>
  <si>
    <t>兒少權修法應具體回應青少年需求 國教盟調查十大關注議題揭示未竟之處！</t>
  </si>
  <si>
    <r>
      <rPr>
        <sz val="11"/>
        <color theme="1"/>
        <rFont val="Calibri"/>
        <family val="2"/>
        <charset val="1"/>
      </rPr>
      <t>20250220</t>
    </r>
    <r>
      <rPr>
        <sz val="11"/>
        <color theme="1"/>
        <rFont val="DejaVu Sans"/>
        <family val="2"/>
      </rPr>
      <t>【國教行動聯盟青年部新聞稿】</t>
    </r>
  </si>
  <si>
    <t>2025/03/06</t>
  </si>
  <si>
    <t>菸防法修法草案存漏洞 難擋喪屍煙彈校園氾濫 國教盟呼籲比照食安法加強對平台之監管及罰則</t>
  </si>
  <si>
    <r>
      <rPr>
        <sz val="11"/>
        <color theme="1"/>
        <rFont val="Calibri"/>
        <family val="2"/>
        <charset val="1"/>
      </rPr>
      <t>20250306</t>
    </r>
    <r>
      <rPr>
        <sz val="11"/>
        <color theme="1"/>
        <rFont val="DejaVu Sans"/>
        <family val="2"/>
      </rPr>
      <t>【國教行動聯盟新聞稿】</t>
    </r>
  </si>
  <si>
    <t>2025/03/07</t>
  </si>
  <si>
    <t>青少年性病飆升、墮胎嚴重、非預期懷孕增加 政府該加強的是性教育，不是避孕藥！</t>
  </si>
  <si>
    <r>
      <rPr>
        <sz val="11"/>
        <color theme="1"/>
        <rFont val="Calibri"/>
        <family val="2"/>
        <charset val="1"/>
      </rPr>
      <t>20250307</t>
    </r>
    <r>
      <rPr>
        <sz val="11"/>
        <color theme="1"/>
        <rFont val="DejaVu Sans"/>
        <family val="2"/>
      </rPr>
      <t>【國教行動聯盟新聞稿】</t>
    </r>
  </si>
  <si>
    <t>2025/03/11</t>
  </si>
  <si>
    <r>
      <rPr>
        <sz val="11"/>
        <color theme="1"/>
        <rFont val="DejaVu Sans"/>
        <family val="2"/>
      </rPr>
      <t>喪屍煙彈年增</t>
    </r>
    <r>
      <rPr>
        <sz val="11"/>
        <color theme="1"/>
        <rFont val="Calibri"/>
        <family val="2"/>
        <charset val="1"/>
      </rPr>
      <t>132</t>
    </r>
    <r>
      <rPr>
        <sz val="11"/>
        <color theme="1"/>
        <rFont val="DejaVu Sans"/>
        <family val="2"/>
      </rPr>
      <t>倍！菸防法修法草案卻未禁持有！ 六大團體呼籲補強修法漏洞 避免毒品電子煙持續危害青少年！</t>
    </r>
  </si>
  <si>
    <r>
      <rPr>
        <sz val="11"/>
        <color theme="1"/>
        <rFont val="Calibri"/>
        <family val="2"/>
        <charset val="1"/>
      </rPr>
      <t>20250311</t>
    </r>
    <r>
      <rPr>
        <sz val="11"/>
        <color theme="1"/>
        <rFont val="DejaVu Sans"/>
        <family val="2"/>
      </rPr>
      <t>【國教行動聯盟新聞稿】</t>
    </r>
  </si>
  <si>
    <t>2025/03/17</t>
  </si>
  <si>
    <r>
      <rPr>
        <sz val="11"/>
        <color theme="1"/>
        <rFont val="DejaVu Sans"/>
        <family val="2"/>
      </rPr>
      <t>情緒障礙飆升</t>
    </r>
    <r>
      <rPr>
        <sz val="11"/>
        <color theme="1"/>
        <rFont val="Calibri"/>
        <family val="2"/>
        <charset val="1"/>
      </rPr>
      <t>41%</t>
    </r>
    <r>
      <rPr>
        <sz val="11"/>
        <color theme="1"/>
        <rFont val="DejaVu Sans"/>
        <family val="2"/>
      </rPr>
      <t>！國教盟籲校園手機使用聚焦內容管理、培養學生數位韌性</t>
    </r>
  </si>
  <si>
    <r>
      <rPr>
        <sz val="11"/>
        <color theme="1"/>
        <rFont val="Calibri"/>
        <family val="2"/>
        <charset val="1"/>
      </rPr>
      <t>20250317</t>
    </r>
    <r>
      <rPr>
        <sz val="11"/>
        <color theme="1"/>
        <rFont val="DejaVu Sans"/>
        <family val="2"/>
      </rPr>
      <t>【國教行動聯盟新聞稿】</t>
    </r>
  </si>
  <si>
    <t>2025/03/24</t>
  </si>
  <si>
    <r>
      <rPr>
        <sz val="11"/>
        <color theme="1"/>
        <rFont val="DejaVu Sans"/>
        <family val="2"/>
      </rPr>
      <t>早療通報再創新高 療育量能遠遠不足 八年來超過</t>
    </r>
    <r>
      <rPr>
        <sz val="11"/>
        <color theme="1"/>
        <rFont val="Calibri"/>
        <family val="2"/>
        <charset val="1"/>
      </rPr>
      <t>22</t>
    </r>
    <r>
      <rPr>
        <sz val="11"/>
        <color theme="1"/>
        <rFont val="DejaVu Sans"/>
        <family val="2"/>
      </rPr>
      <t>萬名兒童錯失黃金治療期！ 國教盟呼籲增加量能、檢討制度！</t>
    </r>
  </si>
  <si>
    <t>早期療育</t>
  </si>
  <si>
    <r>
      <rPr>
        <sz val="11"/>
        <color theme="1"/>
        <rFont val="Calibri"/>
        <family val="2"/>
        <charset val="1"/>
      </rPr>
      <t>20250324</t>
    </r>
    <r>
      <rPr>
        <sz val="11"/>
        <color theme="1"/>
        <rFont val="DejaVu Sans"/>
        <family val="2"/>
      </rPr>
      <t>【國教行動聯盟新聞稿】</t>
    </r>
  </si>
  <si>
    <t>2025/04/17</t>
  </si>
  <si>
    <t>新興菸品肆虐 校園危機加劇 呼籲修法徹底封堵漏洞 國教盟等拒菸團體提出「保護兒少遠離菸害」六大訴求</t>
  </si>
  <si>
    <r>
      <rPr>
        <sz val="11"/>
        <color theme="1"/>
        <rFont val="Calibri"/>
        <family val="2"/>
        <charset val="1"/>
      </rPr>
      <t>20250417</t>
    </r>
    <r>
      <rPr>
        <sz val="11"/>
        <color theme="1"/>
        <rFont val="DejaVu Sans"/>
        <family val="2"/>
      </rPr>
      <t>【國教行動聯盟新聞稿】</t>
    </r>
  </si>
  <si>
    <t>2025/04/23</t>
  </si>
  <si>
    <r>
      <rPr>
        <sz val="11"/>
        <color theme="1"/>
        <rFont val="DejaVu Sans"/>
        <family val="2"/>
      </rPr>
      <t>「</t>
    </r>
    <r>
      <rPr>
        <sz val="11"/>
        <color theme="1"/>
        <rFont val="Calibri"/>
        <family val="2"/>
        <charset val="1"/>
      </rPr>
      <t>423</t>
    </r>
    <r>
      <rPr>
        <sz val="11"/>
        <color theme="1"/>
        <rFont val="DejaVu Sans"/>
        <family val="2"/>
      </rPr>
      <t>嬰兒 兒童 青少年 精神衛生日」 半年內同一學校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DejaVu Sans"/>
        <family val="2"/>
      </rPr>
      <t>名國中生輕生 國教盟呼籲衛福部、教育部：健康檢 查全面納入心理篩檢</t>
    </r>
  </si>
  <si>
    <t>教育部、衛福部</t>
  </si>
  <si>
    <r>
      <rPr>
        <sz val="11"/>
        <color theme="1"/>
        <rFont val="Calibri"/>
        <family val="2"/>
        <charset val="1"/>
      </rPr>
      <t>20250423</t>
    </r>
    <r>
      <rPr>
        <sz val="11"/>
        <color theme="1"/>
        <rFont val="DejaVu Sans"/>
        <family val="2"/>
      </rPr>
      <t>【國教行動聯盟新聞稿】</t>
    </r>
  </si>
  <si>
    <t>2025/04/24</t>
  </si>
  <si>
    <t>青少年說：我們不想再被毒駕撞傷！ 國教盟青年部呼籲正視電子菸毒害、修法禁 絕駕駛毒駕開車！</t>
  </si>
  <si>
    <r>
      <rPr>
        <sz val="11"/>
        <color theme="1"/>
        <rFont val="Calibri"/>
        <family val="2"/>
        <charset val="1"/>
      </rPr>
      <t>20250424</t>
    </r>
    <r>
      <rPr>
        <sz val="11"/>
        <color theme="1"/>
        <rFont val="DejaVu Sans"/>
        <family val="2"/>
      </rPr>
      <t>【國教行動聯盟青年部新聞稿】</t>
    </r>
  </si>
  <si>
    <t>2025/04/30</t>
  </si>
  <si>
    <t>『看見不同，孩子的未來不是病名』 國教盟暨三黨立委呼籲正名「神經多樣性」 同時提升兒少心理健康就醫率</t>
  </si>
  <si>
    <r>
      <rPr>
        <sz val="11"/>
        <color theme="1"/>
        <rFont val="Calibri"/>
        <family val="2"/>
        <charset val="1"/>
      </rPr>
      <t>20250430</t>
    </r>
    <r>
      <rPr>
        <sz val="11"/>
        <color theme="1"/>
        <rFont val="DejaVu Sans"/>
        <family val="2"/>
      </rPr>
      <t>【國教行動聯盟新聞稿】</t>
    </r>
  </si>
  <si>
    <t>2025/05/12</t>
  </si>
  <si>
    <t>「精液豆漿」考卷惹議 性教育專業破功！ 家長怒轟師資失格，國教盟提四訴求要求教育部公開回應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</si>
  <si>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67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</si>
  <si>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20250512</t>
    </r>
    <r>
      <rPr>
        <sz val="11"/>
        <color theme="1"/>
        <rFont val="DejaVu Sans"/>
        <family val="2"/>
      </rPr>
      <t>【國教行動聯盟新聞稿】</t>
    </r>
  </si>
  <si>
    <t>2025/05/14</t>
  </si>
  <si>
    <t>共同跨域網絡守護青少年身心與數位健康</t>
  </si>
  <si>
    <r>
      <rPr>
        <sz val="11"/>
        <color theme="1"/>
        <rFont val="Calibri"/>
        <family val="2"/>
        <charset val="1"/>
      </rPr>
      <t>20250514</t>
    </r>
    <r>
      <rPr>
        <sz val="11"/>
        <color theme="1"/>
        <rFont val="DejaVu Sans"/>
        <family val="2"/>
      </rPr>
      <t>【國教行動聯盟新聞稿】</t>
    </r>
  </si>
  <si>
    <t>2025/05/22</t>
  </si>
  <si>
    <r>
      <rPr>
        <sz val="11"/>
        <color theme="1"/>
        <rFont val="Calibri"/>
        <family val="2"/>
        <charset val="1"/>
      </rPr>
      <t>92%</t>
    </r>
    <r>
      <rPr>
        <sz val="11"/>
        <color theme="1"/>
        <rFont val="DejaVu Sans"/>
        <family val="2"/>
      </rPr>
      <t>民意怒吼、每年</t>
    </r>
    <r>
      <rPr>
        <sz val="11"/>
        <color theme="1"/>
        <rFont val="Calibri"/>
        <family val="2"/>
        <charset val="1"/>
      </rPr>
      <t>20</t>
    </r>
    <r>
      <rPr>
        <sz val="11"/>
        <color theme="1"/>
        <rFont val="DejaVu Sans"/>
        <family val="2"/>
      </rPr>
      <t>幼童遭虐枉死！ 國教盟公布</t>
    </r>
    <r>
      <rPr>
        <sz val="11"/>
        <color theme="1"/>
        <rFont val="Calibri"/>
        <family val="2"/>
        <charset val="1"/>
      </rPr>
      <t>8,700</t>
    </r>
    <r>
      <rPr>
        <sz val="11"/>
        <color theme="1"/>
        <rFont val="DejaVu Sans"/>
        <family val="2"/>
      </rPr>
      <t>份問卷調查結果 籲修法兒虐致死『終身監禁不得假釋＋強制治療』</t>
    </r>
  </si>
  <si>
    <r>
      <rPr>
        <sz val="11"/>
        <color theme="1"/>
        <rFont val="Calibri"/>
        <family val="2"/>
        <charset val="1"/>
      </rPr>
      <t>20250522</t>
    </r>
    <r>
      <rPr>
        <sz val="11"/>
        <color theme="1"/>
        <rFont val="DejaVu Sans"/>
        <family val="2"/>
      </rPr>
      <t>【國教行動聯盟新聞稿】</t>
    </r>
  </si>
  <si>
    <t>2025/05/29</t>
  </si>
  <si>
    <t>健康促進學校邊緣化性健康 造成青少年性病飆升 國教盟促教育部啟動青少年性健康緊急方案</t>
  </si>
  <si>
    <r>
      <rPr>
        <sz val="11"/>
        <color theme="1"/>
        <rFont val="Calibri"/>
        <family val="2"/>
        <charset val="1"/>
      </rPr>
      <t>20250529</t>
    </r>
    <r>
      <rPr>
        <sz val="11"/>
        <color theme="1"/>
        <rFont val="DejaVu Sans"/>
        <family val="2"/>
      </rPr>
      <t>【國教行動聯盟新聞稿】</t>
    </r>
  </si>
  <si>
    <t>2025/06/03</t>
  </si>
  <si>
    <t>七國專家聚焦毒品危機 大麻與依托咪酯威脅台灣青少年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</si>
  <si>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</si>
  <si>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20250603</t>
    </r>
    <r>
      <rPr>
        <sz val="11"/>
        <color theme="1"/>
        <rFont val="DejaVu Sans"/>
        <family val="2"/>
      </rPr>
      <t>【國教行動聯盟＆台灣共善促進協會 新聞稿】</t>
    </r>
  </si>
  <si>
    <t>2025/06/05</t>
  </si>
  <si>
    <t>學習歷程採計不該成為考驗信任的軍備競賽！ 國教盟暨台大張耀文教授呼籲：廢除弊大於利的學習歷程採計，才能確保入學公平性</t>
  </si>
  <si>
    <r>
      <rPr>
        <sz val="11"/>
        <color theme="1"/>
        <rFont val="Calibri"/>
        <family val="2"/>
        <charset val="1"/>
      </rPr>
      <t>20250605</t>
    </r>
    <r>
      <rPr>
        <sz val="11"/>
        <color theme="1"/>
        <rFont val="DejaVu Sans"/>
        <family val="2"/>
      </rPr>
      <t>【國教行動聯盟新聞稿】</t>
    </r>
  </si>
  <si>
    <t>2025/06/10</t>
  </si>
  <si>
    <t>助神經多樣性青少年獨立 生活導師扮橋梁</t>
  </si>
  <si>
    <r>
      <rPr>
        <sz val="11"/>
        <color theme="1"/>
        <rFont val="Calibri"/>
        <family val="2"/>
        <charset val="1"/>
      </rPr>
      <t>20250610</t>
    </r>
    <r>
      <rPr>
        <sz val="11"/>
        <color theme="1"/>
        <rFont val="DejaVu Sans"/>
        <family val="2"/>
      </rPr>
      <t>【國教行動聯盟新聞稿】</t>
    </r>
  </si>
  <si>
    <t>2025/06/21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</si>
  <si>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DejaVu Sans"/>
        <family val="2"/>
      </rPr>
      <t>台灣青少年神經多樣性生活導師國際研討會登場 從理解到實踐，創造台灣在地的青少年神經多樣性支持制度</t>
    </r>
  </si>
  <si>
    <t>研討會</t>
  </si>
  <si>
    <r>
      <rPr>
        <sz val="11"/>
        <color theme="1"/>
        <rFont val="Calibri"/>
        <family val="2"/>
        <charset val="1"/>
      </rPr>
      <t>20250621</t>
    </r>
    <r>
      <rPr>
        <sz val="11"/>
        <color theme="1"/>
        <rFont val="DejaVu Sans"/>
        <family val="2"/>
      </rPr>
      <t>【亞東紀念醫院、台灣青少年神經多樣性行動協會、
立法委員林月琴國會辦公室、國教行動聯盟新聞稿】</t>
    </r>
  </si>
  <si>
    <t>2025/06/25</t>
  </si>
  <si>
    <t>健康重要，還是錢重要？ 解決走私加熱菸應追究菸商責任，而非讓審 查放水</t>
  </si>
  <si>
    <r>
      <rPr>
        <sz val="11"/>
        <color theme="1"/>
        <rFont val="Calibri"/>
        <family val="2"/>
        <charset val="1"/>
      </rPr>
      <t>20250625</t>
    </r>
    <r>
      <rPr>
        <sz val="11"/>
        <color theme="1"/>
        <rFont val="DejaVu Sans"/>
        <family val="2"/>
      </rPr>
      <t xml:space="preserve">【國教行動聯盟＆台灣共善促進協會 </t>
    </r>
    <r>
      <rPr>
        <sz val="11"/>
        <color theme="1"/>
        <rFont val="Calibri"/>
        <family val="2"/>
        <charset val="1"/>
      </rPr>
      <t>&amp;</t>
    </r>
    <r>
      <rPr>
        <sz val="11"/>
        <color theme="1"/>
        <rFont val="DejaVu Sans"/>
        <family val="2"/>
      </rPr>
      <t>拒菸聯盟 新聞稿】</t>
    </r>
  </si>
  <si>
    <t>2025/07/10</t>
  </si>
  <si>
    <r>
      <rPr>
        <sz val="11"/>
        <color theme="1"/>
        <rFont val="DejaVu Sans"/>
        <family val="2"/>
      </rPr>
      <t>分科測驗倒數</t>
    </r>
    <r>
      <rPr>
        <sz val="11"/>
        <color theme="1"/>
        <rFont val="Calibri"/>
        <family val="2"/>
        <charset val="1"/>
      </rPr>
      <t>24h</t>
    </r>
    <r>
      <rPr>
        <sz val="11"/>
        <color theme="1"/>
        <rFont val="DejaVu Sans"/>
        <family val="2"/>
      </rPr>
      <t>世紀烏龍──建臺高中報錯</t>
    </r>
    <r>
      <rPr>
        <sz val="11"/>
        <color theme="1"/>
        <rFont val="Calibri"/>
        <family val="2"/>
        <charset val="1"/>
      </rPr>
      <t>23</t>
    </r>
    <r>
      <rPr>
        <sz val="11"/>
        <color theme="1"/>
        <rFont val="DejaVu Sans"/>
        <family val="2"/>
      </rPr>
      <t>名頂標生 國教盟轟：教育部、高教司與大考中心勿推卸責任！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</si>
  <si>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55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</si>
  <si>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20250710</t>
    </r>
    <r>
      <rPr>
        <sz val="11"/>
        <color theme="1"/>
        <rFont val="DejaVu Sans"/>
        <family val="2"/>
      </rPr>
      <t>【國教行動聯盟新聞稿】</t>
    </r>
  </si>
  <si>
    <t>2025/07/11</t>
  </si>
  <si>
    <t>構築未來：打造「兒少家庭部」 跨部治理與政策整合藍圖 論壇 兒少權益不只是保護，支持家庭親職發展才是根本 民團舉辦論壇，呼籲跨部會整合打造「兒少家庭部」</t>
  </si>
  <si>
    <r>
      <rPr>
        <sz val="11"/>
        <color theme="1"/>
        <rFont val="Calibri"/>
        <family val="2"/>
        <charset val="1"/>
      </rPr>
      <t>20250711</t>
    </r>
    <r>
      <rPr>
        <sz val="11"/>
        <color theme="1"/>
        <rFont val="DejaVu Sans"/>
        <family val="2"/>
      </rPr>
      <t>【全國婦兒團體聯盟＆國教行動聯盟＆兒童健康聯盟 新聞稿】</t>
    </r>
  </si>
  <si>
    <t>2025/07/23</t>
  </si>
  <si>
    <t>逾八成愛奇兒暑期學習斷線 國教盟、天使心家族基金會呼籲政府補上教育與照顧的缺口</t>
  </si>
  <si>
    <r>
      <rPr>
        <sz val="11"/>
        <color theme="1"/>
        <rFont val="Calibri"/>
        <family val="2"/>
        <charset val="1"/>
      </rPr>
      <t>20250723</t>
    </r>
    <r>
      <rPr>
        <sz val="11"/>
        <color theme="1"/>
        <rFont val="DejaVu Sans"/>
        <family val="2"/>
      </rPr>
      <t>【財團法人天使心家族社會福利基金會＆國教行動聯盟 聯合新聞稿】</t>
    </r>
  </si>
  <si>
    <t>2025/07/31</t>
  </si>
  <si>
    <r>
      <rPr>
        <sz val="11"/>
        <color theme="1"/>
        <rFont val="DejaVu Sans"/>
        <family val="2"/>
      </rPr>
      <t>沒有暑假的未成年（兒少）照顧者 —</t>
    </r>
    <r>
      <rPr>
        <sz val="11"/>
        <color theme="1"/>
        <rFont val="Calibri"/>
        <family val="2"/>
        <charset val="1"/>
      </rPr>
      <t>3%</t>
    </r>
    <r>
      <rPr>
        <sz val="11"/>
        <color theme="1"/>
        <rFont val="DejaVu Sans"/>
        <family val="2"/>
      </rPr>
      <t xml:space="preserve">孩子獨力照顧、 </t>
    </r>
    <r>
      <rPr>
        <sz val="11"/>
        <color theme="1"/>
        <rFont val="Calibri"/>
        <family val="2"/>
        <charset val="1"/>
      </rPr>
      <t>82%</t>
    </r>
    <r>
      <rPr>
        <sz val="11"/>
        <color theme="1"/>
        <rFont val="DejaVu Sans"/>
        <family val="2"/>
      </rPr>
      <t>感孤單，教育部衛福部須即刻行動</t>
    </r>
  </si>
  <si>
    <r>
      <rPr>
        <sz val="11"/>
        <color theme="1"/>
        <rFont val="Calibri"/>
        <family val="2"/>
        <charset val="1"/>
      </rPr>
      <t>20250731</t>
    </r>
    <r>
      <rPr>
        <sz val="11"/>
        <color theme="1"/>
        <rFont val="DejaVu Sans"/>
        <family val="2"/>
      </rPr>
      <t>【國教行動聯盟新聞稿】</t>
    </r>
  </si>
  <si>
    <t>2025/08/19</t>
  </si>
  <si>
    <r>
      <rPr>
        <sz val="11"/>
        <color theme="1"/>
        <rFont val="DejaVu Sans"/>
        <family val="2"/>
      </rPr>
      <t>從「精液豆漿」到「偽</t>
    </r>
    <r>
      <rPr>
        <sz val="11"/>
        <color theme="1"/>
        <rFont val="Calibri"/>
        <family val="2"/>
        <charset val="1"/>
      </rPr>
      <t>CSE</t>
    </r>
    <r>
      <rPr>
        <sz val="11"/>
        <color theme="1"/>
        <rFont val="DejaVu Sans"/>
        <family val="2"/>
      </rPr>
      <t>」：教育部開學前把風險帶進教室？ 國教署「全面性教育教學指引」十大破口 一旦入校＝隱私外洩、校安爆量、性健康倒退</t>
    </r>
  </si>
  <si>
    <r>
      <rPr>
        <sz val="11"/>
        <color theme="1"/>
        <rFont val="Calibri"/>
        <family val="2"/>
        <charset val="1"/>
      </rPr>
      <t>20250819</t>
    </r>
    <r>
      <rPr>
        <sz val="11"/>
        <color theme="1"/>
        <rFont val="DejaVu Sans"/>
        <family val="2"/>
      </rPr>
      <t>【國教行動聯盟、台灣性教育學會 聯合新聞稿】</t>
    </r>
  </si>
  <si>
    <t>2025/08/26</t>
  </si>
  <si>
    <r>
      <rPr>
        <sz val="11"/>
        <color theme="1"/>
        <rFont val="DejaVu Sans"/>
        <family val="2"/>
      </rPr>
      <t>主動聆聽值得肯定—被慰留後的教育部長</t>
    </r>
    <r>
      <rPr>
        <sz val="11"/>
        <color theme="1"/>
        <rFont val="Calibri"/>
        <family val="2"/>
        <charset val="1"/>
      </rPr>
      <t>2.0</t>
    </r>
    <r>
      <rPr>
        <sz val="11"/>
        <color theme="1"/>
        <rFont val="DejaVu Sans"/>
        <family val="2"/>
      </rPr>
      <t>是否決心改變？ 教育問題不只四題—從「全面性教育教學指引」看見教師專業失守 國教盟呼籲部長中止手冊、公開名單決策鏈、 啟動追責</t>
    </r>
  </si>
  <si>
    <r>
      <rPr>
        <sz val="11"/>
        <color theme="1"/>
        <rFont val="Calibri"/>
        <family val="2"/>
        <charset val="1"/>
      </rPr>
      <t>20250826</t>
    </r>
    <r>
      <rPr>
        <sz val="11"/>
        <color theme="1"/>
        <rFont val="DejaVu Sans"/>
        <family val="2"/>
      </rPr>
      <t>【國教行動聯盟新聞稿】</t>
    </r>
  </si>
  <si>
    <t>2025/08/28</t>
  </si>
  <si>
    <r>
      <rPr>
        <sz val="11"/>
        <color theme="1"/>
        <rFont val="DejaVu Sans"/>
        <family val="2"/>
      </rPr>
      <t>「務實、傾聽」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DejaVu Sans"/>
        <family val="2"/>
      </rPr>
      <t>對新內閣閣員提出三點期待 國教盟呼籲新內閣應將兒少權益列為施政重心</t>
    </r>
  </si>
  <si>
    <r>
      <rPr>
        <sz val="11"/>
        <color theme="1"/>
        <rFont val="Calibri"/>
        <family val="2"/>
        <charset val="1"/>
      </rPr>
      <t>20250828</t>
    </r>
    <r>
      <rPr>
        <sz val="11"/>
        <color theme="1"/>
        <rFont val="DejaVu Sans"/>
        <family val="2"/>
      </rPr>
      <t>【國教行動聯盟新聞稿】</t>
    </r>
  </si>
  <si>
    <t>2025/09/15</t>
  </si>
  <si>
    <t>「延後上學不能只改鐘點」： 國教盟主張以課綱、配套與家長需求一併檢討</t>
  </si>
  <si>
    <r>
      <rPr>
        <sz val="11"/>
        <color theme="1"/>
        <rFont val="Calibri"/>
        <family val="2"/>
        <charset val="1"/>
      </rPr>
      <t>20250915</t>
    </r>
    <r>
      <rPr>
        <sz val="11"/>
        <color theme="1"/>
        <rFont val="DejaVu Sans"/>
        <family val="2"/>
      </rPr>
      <t>【國教行動聯盟新聞稿】</t>
    </r>
  </si>
  <si>
    <t>2025/10/10</t>
  </si>
  <si>
    <t>世界心理健康日： 肯定政策進步，呼籲「災後情緒危機處理」成為政府標配 服務的可近性不只「看診」：先陪伴、後轉介，讓受災孩子與家庭長出心理韌性</t>
  </si>
  <si>
    <r>
      <rPr>
        <sz val="11"/>
        <color theme="1"/>
        <rFont val="Calibri"/>
        <family val="2"/>
        <charset val="1"/>
      </rPr>
      <t>20251010</t>
    </r>
    <r>
      <rPr>
        <sz val="11"/>
        <color theme="1"/>
        <rFont val="DejaVu Sans"/>
        <family val="2"/>
      </rPr>
      <t>【國教行動聯盟、台灣心理健康聯盟 聯合新聞稿】</t>
    </r>
  </si>
  <si>
    <t>2025/10/20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</si>
  <si>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DejaVu Sans"/>
        <family val="2"/>
      </rPr>
      <t>年台灣青少年最關心的十大議題 「分辨網路資訊」高居第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DejaVu Sans"/>
        <family val="2"/>
      </rPr>
      <t>名 國教盟青年部呼籲：列入課綱、師資增能、落實檢核</t>
    </r>
  </si>
  <si>
    <r>
      <rPr>
        <sz val="11"/>
        <color theme="1"/>
        <rFont val="Calibri"/>
        <family val="2"/>
        <charset val="1"/>
      </rPr>
      <t>20251020</t>
    </r>
    <r>
      <rPr>
        <sz val="11"/>
        <color theme="1"/>
        <rFont val="DejaVu Sans"/>
        <family val="2"/>
      </rPr>
      <t>【國教行動聯盟青年部新聞稿】</t>
    </r>
  </si>
  <si>
    <t>事實勝過帶風向：加熱菸首日下架 政府執法、兒少優先 國教盟與執法同一陣線：嚴辦違規與年輕化宣傳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</si>
  <si>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83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</si>
  <si>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20251020</t>
    </r>
    <r>
      <rPr>
        <sz val="11"/>
        <color theme="1"/>
        <rFont val="DejaVu Sans"/>
        <family val="2"/>
      </rPr>
      <t>【國教行動聯盟新聞稿】</t>
    </r>
  </si>
  <si>
    <t>2025/10/21</t>
  </si>
  <si>
    <r>
      <rPr>
        <sz val="11"/>
        <color theme="1"/>
        <rFont val="DejaVu Sans"/>
        <family val="2"/>
      </rPr>
      <t>家長</t>
    </r>
    <r>
      <rPr>
        <sz val="11"/>
        <color theme="1"/>
        <rFont val="Calibri"/>
        <family val="2"/>
        <charset val="1"/>
      </rPr>
      <t>×</t>
    </r>
    <r>
      <rPr>
        <sz val="11"/>
        <color theme="1"/>
        <rFont val="DejaVu Sans"/>
        <family val="2"/>
      </rPr>
      <t>教師</t>
    </r>
    <r>
      <rPr>
        <sz val="11"/>
        <color theme="1"/>
        <rFont val="Calibri"/>
        <family val="2"/>
        <charset val="1"/>
      </rPr>
      <t>×</t>
    </r>
    <r>
      <rPr>
        <sz val="11"/>
        <color theme="1"/>
        <rFont val="DejaVu Sans"/>
        <family val="2"/>
      </rPr>
      <t>校長</t>
    </r>
    <r>
      <rPr>
        <sz val="11"/>
        <color theme="1"/>
        <rFont val="Calibri"/>
        <family val="2"/>
        <charset val="1"/>
      </rPr>
      <t>×</t>
    </r>
    <r>
      <rPr>
        <sz val="11"/>
        <color theme="1"/>
        <rFont val="DejaVu Sans"/>
        <family val="2"/>
      </rPr>
      <t>專業團體聯合聲明 捍衛政府執法，拒絕菸商帶風向 力挺依法下架違法加熱菸，堅決守護兒少健康</t>
    </r>
  </si>
  <si>
    <t>聯合聲明</t>
  </si>
  <si>
    <r>
      <rPr>
        <sz val="11"/>
        <color theme="1"/>
        <rFont val="Calibri"/>
        <family val="2"/>
        <charset val="1"/>
      </rPr>
      <t>20251021</t>
    </r>
    <r>
      <rPr>
        <sz val="11"/>
        <color theme="1"/>
        <rFont val="DejaVu Sans"/>
        <family val="2"/>
      </rPr>
      <t>【國教行動聯盟聯合聲明新聞稿】</t>
    </r>
  </si>
  <si>
    <t>2025/10/24</t>
  </si>
  <si>
    <r>
      <rPr>
        <sz val="11"/>
        <color theme="1"/>
        <rFont val="DejaVu Sans"/>
        <family val="2"/>
      </rPr>
      <t>第二家日本菸草公司 製造銷售加熱菸也違法展示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DejaVu Sans"/>
        <family val="2"/>
      </rPr>
      <t>國教行動聯盟向國健署檢舉 重申任何菸品、加熱菸載具 皆不得以任何形式廣告宣傳</t>
    </r>
  </si>
  <si>
    <r>
      <rPr>
        <sz val="11"/>
        <color theme="1"/>
        <rFont val="Calibri"/>
        <family val="2"/>
        <charset val="1"/>
      </rPr>
      <t>20251024</t>
    </r>
    <r>
      <rPr>
        <sz val="11"/>
        <color theme="1"/>
        <rFont val="DejaVu Sans"/>
        <family val="2"/>
      </rPr>
      <t>【國教行動聯盟新聞稿】</t>
    </r>
  </si>
  <si>
    <t>2025/11/13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</si>
  <si>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DejaVu Sans"/>
        <family val="2"/>
      </rPr>
      <t>年青少年涉詐近</t>
    </r>
    <r>
      <rPr>
        <sz val="11"/>
        <color theme="1"/>
        <rFont val="Calibri"/>
        <family val="2"/>
        <charset val="1"/>
      </rPr>
      <t>17,942</t>
    </r>
    <r>
      <rPr>
        <sz val="11"/>
        <color theme="1"/>
        <rFont val="DejaVu Sans"/>
        <family val="2"/>
      </rPr>
      <t>人！ 國教盟青年部懇請政府重視青少年詐騙問題 把詐騙通報網</t>
    </r>
    <r>
      <rPr>
        <sz val="11"/>
        <color theme="1"/>
        <rFont val="Calibri"/>
        <family val="2"/>
        <charset val="1"/>
      </rPr>
      <t>3.0</t>
    </r>
    <r>
      <rPr>
        <sz val="11"/>
        <color theme="1"/>
        <rFont val="DejaVu Sans"/>
        <family val="2"/>
      </rPr>
      <t>帶進教室</t>
    </r>
  </si>
  <si>
    <r>
      <rPr>
        <sz val="11"/>
        <color theme="1"/>
        <rFont val="Calibri"/>
        <family val="2"/>
        <charset val="1"/>
      </rPr>
      <t>20251113</t>
    </r>
    <r>
      <rPr>
        <sz val="11"/>
        <color theme="1"/>
        <rFont val="DejaVu Sans"/>
        <family val="2"/>
      </rPr>
      <t>【國教行動聯盟新聞稿】</t>
    </r>
  </si>
  <si>
    <t>2025/11/17</t>
  </si>
  <si>
    <t>肯定成立「兒童及家庭署」 民團倡議提升位階、賦予法定統整權 讓兒少政策真正跨部整合</t>
  </si>
  <si>
    <r>
      <rPr>
        <sz val="11"/>
        <color theme="1"/>
        <rFont val="Calibri"/>
        <family val="2"/>
        <charset val="1"/>
      </rPr>
      <t>20251117</t>
    </r>
    <r>
      <rPr>
        <sz val="11"/>
        <color theme="1"/>
        <rFont val="DejaVu Sans"/>
        <family val="2"/>
      </rPr>
      <t>【兒童健康聯盟、國教行動聯盟、全國婦兒團體聯盟 聯合新聞稿】</t>
    </r>
  </si>
  <si>
    <r>
      <rPr>
        <sz val="11"/>
        <color theme="1"/>
        <rFont val="Calibri"/>
        <family val="2"/>
        <charset val="1"/>
      </rPr>
      <t xml:space="preserve">8,743 </t>
    </r>
    <r>
      <rPr>
        <sz val="11"/>
        <color theme="1"/>
        <rFont val="DejaVu Sans"/>
        <family val="2"/>
      </rPr>
      <t>份學生問卷第二名： 青少年陷入菸、毒與心理健康三重危機 新興菸品恐成毒品新管道，</t>
    </r>
    <r>
      <rPr>
        <sz val="11"/>
        <color theme="1"/>
        <rFont val="Calibri"/>
        <family val="2"/>
        <charset val="1"/>
      </rPr>
      <t xml:space="preserve">78% </t>
    </r>
    <r>
      <rPr>
        <sz val="11"/>
        <color theme="1"/>
        <rFont val="DejaVu Sans"/>
        <family val="2"/>
      </rPr>
      <t>藥癮少年合併心理疾患，校園與輔導體系卻跟不上變化 國教盟青年部聯合專家學者提出五大訴求</t>
    </r>
  </si>
  <si>
    <r>
      <rPr>
        <sz val="11"/>
        <color theme="1"/>
        <rFont val="Calibri"/>
        <family val="2"/>
        <charset val="1"/>
      </rPr>
      <t>20251117</t>
    </r>
    <r>
      <rPr>
        <sz val="11"/>
        <color theme="1"/>
        <rFont val="DejaVu Sans"/>
        <family val="2"/>
      </rPr>
      <t>【國教行動聯盟青年部新聞稿】</t>
    </r>
  </si>
  <si>
    <t>2025/11/19</t>
  </si>
  <si>
    <t>制度要更好，不是更少 支持不適任教師處理修法共識 建立檢核機制 重大案件仍須保留校事會議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</si>
  <si>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50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</si>
  <si>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20251119</t>
    </r>
    <r>
      <rPr>
        <sz val="11"/>
        <color theme="1"/>
        <rFont val="DejaVu Sans"/>
        <family val="2"/>
      </rPr>
      <t>【國教行動聯盟、全國家長團體聯盟 聯合新聞稿】</t>
    </r>
  </si>
  <si>
    <t>2025/11/20</t>
  </si>
  <si>
    <t>呼應國際兒童人權日 保護兒童隱私權 國教盟呼籲：未成年影像不是內容素材 校園直播需尊重兒少權利與保護程序</t>
  </si>
  <si>
    <r>
      <rPr>
        <sz val="11"/>
        <color theme="1"/>
        <rFont val="Calibri"/>
        <family val="2"/>
        <charset val="1"/>
      </rPr>
      <t>20251120</t>
    </r>
    <r>
      <rPr>
        <sz val="11"/>
        <color theme="1"/>
        <rFont val="DejaVu Sans"/>
        <family val="2"/>
      </rPr>
      <t>【國教行動聯盟新聞稿】</t>
    </r>
  </si>
  <si>
    <t>2025/11/22</t>
  </si>
  <si>
    <t>國教盟肯定預告修正版本有助處理爭議 根本解決校事會議「小案大辦」現象 應補上「前端把關、單一事實審認、外部專業、限時回覆」</t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</si>
  <si>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32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</si>
  <si>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20251122</t>
    </r>
    <r>
      <rPr>
        <sz val="11"/>
        <color theme="1"/>
        <rFont val="DejaVu Sans"/>
        <family val="2"/>
      </rPr>
      <t>【國教行動聯盟新聞稿】</t>
    </r>
  </si>
  <si>
    <t>2025/12/05</t>
  </si>
  <si>
    <r>
      <rPr>
        <sz val="11"/>
        <color theme="1"/>
        <rFont val="DejaVu Sans"/>
        <family val="2"/>
      </rPr>
      <t>從「事後追究」轉向「事前預防」不要讓悲劇反覆發生 青少年自殺通報九年增加</t>
    </r>
    <r>
      <rPr>
        <sz val="11"/>
        <color theme="1"/>
        <rFont val="Calibri"/>
        <family val="2"/>
        <charset val="1"/>
      </rPr>
      <t>3.3</t>
    </r>
    <r>
      <rPr>
        <sz val="11"/>
        <color theme="1"/>
        <rFont val="DejaVu Sans"/>
        <family val="2"/>
      </rPr>
      <t>倍、佔比倍增 國教盟建議參考美國兒科醫學會實施例行篩檢與早期介入</t>
    </r>
  </si>
  <si>
    <r>
      <rPr>
        <sz val="11"/>
        <color theme="1"/>
        <rFont val="Calibri"/>
        <family val="2"/>
        <charset val="1"/>
      </rPr>
      <t>20251205</t>
    </r>
    <r>
      <rPr>
        <sz val="11"/>
        <color theme="1"/>
        <rFont val="DejaVu Sans"/>
        <family val="2"/>
      </rPr>
      <t>【國教行動聯盟新聞稿】</t>
    </r>
  </si>
  <si>
    <t>2025/12/08</t>
  </si>
  <si>
    <r>
      <rPr>
        <sz val="11"/>
        <color theme="1"/>
        <rFont val="Calibri"/>
        <family val="2"/>
        <charset val="1"/>
      </rPr>
      <t>8742</t>
    </r>
    <r>
      <rPr>
        <sz val="11"/>
        <color theme="1"/>
        <rFont val="DejaVu Sans"/>
        <family val="2"/>
      </rPr>
      <t>名青少年票選第三名：「遇到性騷擾該怎麼辦？」 性影像被害人過半未成年，卻沒人教他如何預防 國教盟青年部呼籲應補上保護課</t>
    </r>
  </si>
  <si>
    <r>
      <rPr>
        <sz val="11"/>
        <color theme="1"/>
        <rFont val="DejaVu Sans"/>
        <family val="2"/>
      </rPr>
      <t>新聞露出</t>
    </r>
    <r>
      <rPr>
        <sz val="11"/>
        <color theme="1"/>
        <rFont val="Calibri"/>
        <family val="2"/>
        <charset val="1"/>
      </rPr>
      <t>43</t>
    </r>
    <r>
      <rPr>
        <sz val="11"/>
        <color theme="1"/>
        <rFont val="DejaVu Sans"/>
        <family val="2"/>
      </rPr>
      <t>篇</t>
    </r>
  </si>
  <si>
    <r>
      <rPr>
        <sz val="11"/>
        <color theme="1"/>
        <rFont val="Calibri"/>
        <family val="2"/>
        <charset val="1"/>
      </rPr>
      <t>20251208</t>
    </r>
    <r>
      <rPr>
        <sz val="11"/>
        <color theme="1"/>
        <rFont val="DejaVu Sans"/>
        <family val="2"/>
      </rPr>
      <t>【國教行動聯盟青年部新聞稿】</t>
    </r>
  </si>
  <si>
    <t>2025/12/09</t>
  </si>
  <si>
    <t>肯定跨部會平台啟動，呼籲以兒少視角完善單一入口與校園支持</t>
  </si>
  <si>
    <r>
      <rPr>
        <sz val="11"/>
        <color theme="1"/>
        <rFont val="Calibri"/>
        <family val="2"/>
        <charset val="1"/>
      </rPr>
      <t>20251209</t>
    </r>
    <r>
      <rPr>
        <sz val="11"/>
        <color theme="1"/>
        <rFont val="DejaVu Sans"/>
        <family val="2"/>
      </rPr>
      <t>【國教行動聯盟新聞稿】</t>
    </r>
  </si>
  <si>
    <t>2025/12/10</t>
  </si>
  <si>
    <t>喪屍煙彈驚爆校園，誰來負責？ 國教盟痛批政府怠惰：再不修法，悲劇將會重演</t>
  </si>
  <si>
    <r>
      <rPr>
        <sz val="11"/>
        <color theme="1"/>
        <rFont val="Calibri"/>
        <family val="2"/>
        <charset val="1"/>
      </rPr>
      <t>20251210</t>
    </r>
    <r>
      <rPr>
        <sz val="11"/>
        <color theme="1"/>
        <rFont val="DejaVu Sans"/>
        <family val="2"/>
      </rPr>
      <t>【國教行動聯盟新聞稿】</t>
    </r>
  </si>
  <si>
    <t>2025/12/13</t>
  </si>
  <si>
    <t>從理解開始，讓支持成為日常語言 九成支持正名，僅一成具備基本理解 全台首份「神經多樣性社會理解度調 查」結果出爐</t>
  </si>
  <si>
    <r>
      <rPr>
        <sz val="11"/>
        <color theme="1"/>
        <rFont val="Calibri"/>
        <family val="2"/>
        <charset val="1"/>
      </rPr>
      <t>20251213</t>
    </r>
    <r>
      <rPr>
        <sz val="11"/>
        <color theme="1"/>
        <rFont val="DejaVu Sans"/>
        <family val="2"/>
      </rPr>
      <t>【「國教行動聯盟、神經多樣性學生正名小組、青少年神經多樣性行動協會」聯合新聞稿】</t>
    </r>
  </si>
  <si>
    <t>2025/12/16</t>
  </si>
  <si>
    <r>
      <rPr>
        <sz val="11"/>
        <color theme="1"/>
        <rFont val="DejaVu Sans"/>
        <family val="2"/>
      </rPr>
      <t>校園菸毒與毒駕源頭相同 新興毒品快速變形 毒駕年增</t>
    </r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DejaVu Sans"/>
        <family val="2"/>
      </rPr>
      <t>倍 國教盟倡議：用科技反制科技「唾液快篩＋液相層析串聯質譜」兩層式檢測對抗新興毒品</t>
    </r>
  </si>
  <si>
    <r>
      <rPr>
        <sz val="11"/>
        <color theme="1"/>
        <rFont val="Calibri"/>
        <family val="2"/>
        <charset val="1"/>
      </rPr>
      <t>20251216</t>
    </r>
    <r>
      <rPr>
        <sz val="11"/>
        <color theme="1"/>
        <rFont val="DejaVu Sans"/>
        <family val="2"/>
      </rPr>
      <t>【國教行動聯盟新聞稿】</t>
    </r>
  </si>
  <si>
    <t>2025/12/18</t>
  </si>
  <si>
    <t>台灣的兒少數位保護要前進： 國教盟與一滴優籲教育部兌現行動載具管理承諾</t>
  </si>
  <si>
    <r>
      <rPr>
        <sz val="11"/>
        <color theme="1"/>
        <rFont val="Calibri"/>
        <family val="2"/>
        <charset val="1"/>
      </rPr>
      <t>20251218</t>
    </r>
    <r>
      <rPr>
        <sz val="11"/>
        <color theme="1"/>
        <rFont val="DejaVu Sans"/>
        <family val="2"/>
      </rPr>
      <t>【國教行動聯盟、</t>
    </r>
    <r>
      <rPr>
        <sz val="11"/>
        <color theme="1"/>
        <rFont val="Calibri"/>
        <family val="2"/>
        <charset val="1"/>
      </rPr>
      <t xml:space="preserve">EdYouth </t>
    </r>
    <r>
      <rPr>
        <sz val="11"/>
        <color theme="1"/>
        <rFont val="DejaVu Sans"/>
        <family val="2"/>
      </rPr>
      <t>聯合新聞稿】</t>
    </r>
  </si>
  <si>
    <t>2025/12/24</t>
  </si>
  <si>
    <t>二審判決引發社會質疑 國教盟：少年重大暴力案件的量刑， 應比照刑事案件精神，建立透明且可檢核的判斷依據</t>
  </si>
  <si>
    <r>
      <rPr>
        <sz val="11"/>
        <color theme="1"/>
        <rFont val="Calibri"/>
        <family val="2"/>
        <charset val="1"/>
      </rPr>
      <t>20251224</t>
    </r>
    <r>
      <rPr>
        <sz val="11"/>
        <color theme="1"/>
        <rFont val="DejaVu Sans"/>
        <family val="2"/>
      </rPr>
      <t>【國教行動聯盟新聞稿】</t>
    </r>
  </si>
  <si>
    <t>合計</t>
  </si>
  <si>
    <t>倡議現況</t>
  </si>
  <si>
    <t>下一步行動</t>
  </si>
  <si>
    <t>月份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</si>
  <si>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</si>
  <si>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</si>
  <si>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</si>
  <si>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</si>
  <si>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</si>
  <si>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</si>
  <si>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7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</si>
  <si>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</si>
  <si>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</si>
  <si>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</si>
  <si>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DejaVu Sans"/>
        <family val="2"/>
      </rPr>
      <t>月</t>
    </r>
  </si>
  <si>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DejaVu Sans"/>
        <family val="2"/>
      </rPr>
      <t>月</t>
    </r>
  </si>
  <si>
    <t>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</si>
</sst>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rgb="FFFFFFFF"/>
      <name val="DejaVu Sans"/>
      <family val="2"/>
    </font>
    <font>
      <sz val="11"/>
      <color theme="1"/>
      <name val="DejaVu Sans"/>
      <family val="2"/>
    </font>
    <font>
      <sz val="11"/>
      <color rgb="FFFFFFFF"/>
      <name val="DejaVu Sans"/>
      <family val="2"/>
    </font>
    <font>
      <b/>
      <sz val="11"/>
      <color rgb="FFFFFFFF"/>
      <name val="Cambria"/>
      <family val="1"/>
    </font>
    <font>
      <b/>
      <sz val="11"/>
      <name val="DejaVu Sans"/>
      <family val="2"/>
    </font>
    <font>
      <sz val="9"/>
      <name val="Wawati TC"/>
      <family val="3"/>
      <charset val="136"/>
    </font>
    <font>
      <sz val="11"/>
      <color rgb="FF00B050"/>
      <name val="Microsoft JhengHe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7AE60"/>
        <bgColor rgb="FF2ECC71"/>
      </patternFill>
    </fill>
    <fill>
      <patternFill patternType="solid">
        <fgColor rgb="FF3498DB"/>
        <bgColor rgb="FF27AE60"/>
      </patternFill>
    </fill>
    <fill>
      <patternFill patternType="solid">
        <fgColor rgb="FF95A5A6"/>
        <bgColor rgb="FF9999FF"/>
      </patternFill>
    </fill>
    <fill>
      <patternFill patternType="solid">
        <fgColor rgb="FFC0392B"/>
        <bgColor rgb="FFE74C3C"/>
      </patternFill>
    </fill>
    <fill>
      <patternFill patternType="solid">
        <fgColor rgb="FFE74C3C"/>
        <bgColor rgb="FFC0392B"/>
      </patternFill>
    </fill>
    <fill>
      <patternFill patternType="solid">
        <fgColor rgb="FFF39C12"/>
        <bgColor rgb="FFE67E22"/>
      </patternFill>
    </fill>
    <fill>
      <patternFill patternType="solid">
        <fgColor rgb="FFE67E22"/>
        <bgColor rgb="FFF39C12"/>
      </patternFill>
    </fill>
    <fill>
      <patternFill patternType="solid">
        <fgColor rgb="FF2ECC71"/>
        <bgColor rgb="FF27AE60"/>
      </patternFill>
    </fill>
    <fill>
      <patternFill patternType="solid">
        <fgColor rgb="FF9B59B6"/>
        <bgColor rgb="FF993366"/>
      </patternFill>
    </fill>
    <fill>
      <patternFill patternType="solid">
        <fgColor rgb="FF795548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D3D3D3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0" fillId="0" borderId="0" xfId="0" applyAlignment="1">
      <alignment wrapText="1"/>
    </xf>
    <xf numFmtId="0" fontId="3" fillId="12" borderId="0" xfId="0" applyFont="1" applyFill="1"/>
    <xf numFmtId="0" fontId="4" fillId="2" borderId="0" xfId="0" applyFont="1" applyFill="1" applyAlignment="1">
      <alignment horizontal="center" vertical="center"/>
    </xf>
    <xf numFmtId="0" fontId="0" fillId="13" borderId="0" xfId="0" applyFill="1"/>
    <xf numFmtId="0" fontId="5" fillId="14" borderId="0" xfId="0" applyFont="1" applyFill="1"/>
    <xf numFmtId="0" fontId="7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B59B6"/>
      <rgbColor rgb="FF9999FF"/>
      <rgbColor rgb="FF993366"/>
      <rgbColor rgb="FFFFFFCC"/>
      <rgbColor rgb="FFCCFFFF"/>
      <rgbColor rgb="FF660066"/>
      <rgbColor rgb="FFE74C3C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2ECC71"/>
      <rgbColor rgb="FF99CC00"/>
      <rgbColor rgb="FFFFCC00"/>
      <rgbColor rgb="FFF39C12"/>
      <rgbColor rgb="FFE67E22"/>
      <rgbColor rgb="FF795548"/>
      <rgbColor rgb="FF95A5A6"/>
      <rgbColor rgb="FF003366"/>
      <rgbColor rgb="FF27AE60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"/>
  <sheetViews>
    <sheetView tabSelected="1" topLeftCell="C1" zoomScaleNormal="100" workbookViewId="0">
      <pane ySplit="1" topLeftCell="A2" activePane="bottomLeft" state="frozen"/>
      <selection pane="bottomLeft" activeCell="I113" sqref="I113"/>
    </sheetView>
  </sheetViews>
  <sheetFormatPr baseColWidth="10" defaultColWidth="8.6640625" defaultRowHeight="15" customHeight="1"/>
  <cols>
    <col min="1" max="1" width="6" customWidth="1"/>
    <col min="2" max="2" width="8" customWidth="1"/>
    <col min="3" max="3" width="10" customWidth="1"/>
    <col min="4" max="4" width="73.33203125" customWidth="1"/>
    <col min="5" max="6" width="12" customWidth="1"/>
    <col min="7" max="7" width="10" customWidth="1"/>
    <col min="8" max="10" width="12" customWidth="1"/>
    <col min="11" max="11" width="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">
      <c r="A2">
        <v>1</v>
      </c>
      <c r="B2" t="s">
        <v>11</v>
      </c>
      <c r="C2" t="s">
        <v>12</v>
      </c>
      <c r="D2" s="2" t="s">
        <v>13</v>
      </c>
      <c r="E2" s="3" t="s">
        <v>14</v>
      </c>
      <c r="G2" s="2" t="s">
        <v>15</v>
      </c>
      <c r="I2" s="17" t="s">
        <v>431</v>
      </c>
      <c r="J2" s="2" t="s">
        <v>16</v>
      </c>
      <c r="K2" t="s">
        <v>17</v>
      </c>
    </row>
    <row r="3" spans="1:11" ht="17">
      <c r="A3">
        <v>2</v>
      </c>
      <c r="B3" t="s">
        <v>11</v>
      </c>
      <c r="C3" t="s">
        <v>18</v>
      </c>
      <c r="D3" s="2" t="s">
        <v>19</v>
      </c>
      <c r="E3" s="4" t="s">
        <v>20</v>
      </c>
      <c r="G3" s="2" t="s">
        <v>15</v>
      </c>
      <c r="I3" s="17"/>
      <c r="J3" s="2" t="s">
        <v>21</v>
      </c>
      <c r="K3" t="s">
        <v>22</v>
      </c>
    </row>
    <row r="4" spans="1:11" ht="17">
      <c r="A4">
        <v>3</v>
      </c>
      <c r="B4" t="s">
        <v>11</v>
      </c>
      <c r="C4" t="s">
        <v>23</v>
      </c>
      <c r="D4" s="2" t="s">
        <v>24</v>
      </c>
      <c r="E4" s="5" t="s">
        <v>25</v>
      </c>
      <c r="G4" s="2" t="s">
        <v>15</v>
      </c>
      <c r="I4" s="17"/>
      <c r="J4" s="2" t="s">
        <v>26</v>
      </c>
      <c r="K4" t="s">
        <v>27</v>
      </c>
    </row>
    <row r="5" spans="1:11" ht="17">
      <c r="A5">
        <v>4</v>
      </c>
      <c r="B5" t="s">
        <v>11</v>
      </c>
      <c r="C5" t="s">
        <v>28</v>
      </c>
      <c r="D5" s="2" t="s">
        <v>29</v>
      </c>
      <c r="E5" s="4" t="s">
        <v>20</v>
      </c>
      <c r="G5" s="2" t="s">
        <v>15</v>
      </c>
      <c r="I5" s="17"/>
      <c r="J5" s="2" t="s">
        <v>21</v>
      </c>
      <c r="K5" t="s">
        <v>30</v>
      </c>
    </row>
    <row r="6" spans="1:11" ht="17">
      <c r="A6">
        <v>5</v>
      </c>
      <c r="B6" t="s">
        <v>11</v>
      </c>
      <c r="C6" t="s">
        <v>31</v>
      </c>
      <c r="D6" s="2" t="s">
        <v>32</v>
      </c>
      <c r="E6" s="5" t="s">
        <v>25</v>
      </c>
      <c r="G6" s="2" t="s">
        <v>15</v>
      </c>
      <c r="I6" s="17"/>
      <c r="J6" s="2" t="s">
        <v>33</v>
      </c>
      <c r="K6" t="s">
        <v>34</v>
      </c>
    </row>
    <row r="7" spans="1:11" ht="17">
      <c r="A7">
        <v>6</v>
      </c>
      <c r="B7" t="s">
        <v>11</v>
      </c>
      <c r="C7" t="s">
        <v>35</v>
      </c>
      <c r="D7" s="2" t="s">
        <v>36</v>
      </c>
      <c r="E7" s="5" t="s">
        <v>25</v>
      </c>
      <c r="G7" s="2" t="s">
        <v>15</v>
      </c>
      <c r="I7" s="17" t="s">
        <v>431</v>
      </c>
      <c r="J7" s="2" t="s">
        <v>26</v>
      </c>
      <c r="K7" t="s">
        <v>37</v>
      </c>
    </row>
    <row r="8" spans="1:11" ht="17">
      <c r="A8">
        <v>7</v>
      </c>
      <c r="B8" t="s">
        <v>11</v>
      </c>
      <c r="C8" t="s">
        <v>38</v>
      </c>
      <c r="D8" s="2" t="s">
        <v>39</v>
      </c>
      <c r="E8" s="6" t="s">
        <v>40</v>
      </c>
      <c r="G8" s="2" t="s">
        <v>41</v>
      </c>
      <c r="I8" s="17"/>
      <c r="J8" s="2" t="s">
        <v>42</v>
      </c>
      <c r="K8" t="s">
        <v>43</v>
      </c>
    </row>
    <row r="9" spans="1:11" ht="17">
      <c r="A9">
        <v>8</v>
      </c>
      <c r="B9" t="s">
        <v>11</v>
      </c>
      <c r="C9" t="s">
        <v>44</v>
      </c>
      <c r="D9" s="2" t="s">
        <v>45</v>
      </c>
      <c r="E9" s="7" t="s">
        <v>46</v>
      </c>
      <c r="G9" s="2" t="s">
        <v>15</v>
      </c>
      <c r="I9" s="17"/>
      <c r="J9" s="2" t="s">
        <v>47</v>
      </c>
      <c r="K9" t="s">
        <v>48</v>
      </c>
    </row>
    <row r="10" spans="1:11" ht="17">
      <c r="A10">
        <v>9</v>
      </c>
      <c r="B10" t="s">
        <v>11</v>
      </c>
      <c r="C10" t="s">
        <v>49</v>
      </c>
      <c r="D10" s="2" t="s">
        <v>50</v>
      </c>
      <c r="E10" s="5" t="s">
        <v>25</v>
      </c>
      <c r="G10" s="2" t="s">
        <v>15</v>
      </c>
      <c r="I10" s="17" t="s">
        <v>431</v>
      </c>
      <c r="J10" s="2" t="s">
        <v>51</v>
      </c>
      <c r="K10" t="s">
        <v>52</v>
      </c>
    </row>
    <row r="11" spans="1:11" ht="17">
      <c r="A11">
        <v>10</v>
      </c>
      <c r="B11" t="s">
        <v>11</v>
      </c>
      <c r="C11" t="s">
        <v>53</v>
      </c>
      <c r="D11" s="2" t="s">
        <v>54</v>
      </c>
      <c r="E11" s="4" t="s">
        <v>20</v>
      </c>
      <c r="G11" s="2" t="s">
        <v>55</v>
      </c>
      <c r="I11" s="17"/>
      <c r="J11" s="2" t="s">
        <v>33</v>
      </c>
      <c r="K11" t="s">
        <v>56</v>
      </c>
    </row>
    <row r="12" spans="1:11" ht="17">
      <c r="A12">
        <v>11</v>
      </c>
      <c r="B12" t="s">
        <v>11</v>
      </c>
      <c r="C12" t="s">
        <v>57</v>
      </c>
      <c r="D12" s="2" t="s">
        <v>58</v>
      </c>
      <c r="E12" s="4" t="s">
        <v>20</v>
      </c>
      <c r="G12" s="2" t="s">
        <v>15</v>
      </c>
      <c r="I12" s="17"/>
      <c r="J12" s="2" t="s">
        <v>59</v>
      </c>
      <c r="K12" t="s">
        <v>60</v>
      </c>
    </row>
    <row r="13" spans="1:11" ht="17">
      <c r="A13">
        <v>12</v>
      </c>
      <c r="B13" t="s">
        <v>11</v>
      </c>
      <c r="C13" t="s">
        <v>61</v>
      </c>
      <c r="D13" s="2" t="s">
        <v>62</v>
      </c>
      <c r="E13" s="8" t="s">
        <v>63</v>
      </c>
      <c r="G13" s="2" t="s">
        <v>15</v>
      </c>
      <c r="I13" s="17"/>
      <c r="J13" s="2" t="s">
        <v>64</v>
      </c>
      <c r="K13" t="s">
        <v>65</v>
      </c>
    </row>
    <row r="14" spans="1:11" ht="17">
      <c r="A14">
        <v>13</v>
      </c>
      <c r="B14" t="s">
        <v>11</v>
      </c>
      <c r="C14" t="s">
        <v>66</v>
      </c>
      <c r="D14" s="2" t="s">
        <v>67</v>
      </c>
      <c r="E14" s="4" t="s">
        <v>20</v>
      </c>
      <c r="F14" s="2" t="s">
        <v>68</v>
      </c>
      <c r="G14" s="2" t="s">
        <v>15</v>
      </c>
      <c r="I14" s="17"/>
      <c r="J14" s="2" t="s">
        <v>69</v>
      </c>
      <c r="K14" t="s">
        <v>70</v>
      </c>
    </row>
    <row r="15" spans="1:11" ht="17">
      <c r="A15">
        <v>14</v>
      </c>
      <c r="B15" t="s">
        <v>11</v>
      </c>
      <c r="C15" t="s">
        <v>71</v>
      </c>
      <c r="D15" s="2" t="s">
        <v>72</v>
      </c>
      <c r="E15" s="6" t="s">
        <v>40</v>
      </c>
      <c r="G15" s="2" t="s">
        <v>15</v>
      </c>
      <c r="I15" s="17" t="s">
        <v>431</v>
      </c>
      <c r="J15" s="2" t="s">
        <v>73</v>
      </c>
      <c r="K15" t="s">
        <v>74</v>
      </c>
    </row>
    <row r="16" spans="1:11" ht="17">
      <c r="A16">
        <v>15</v>
      </c>
      <c r="B16" t="s">
        <v>11</v>
      </c>
      <c r="C16" t="s">
        <v>75</v>
      </c>
      <c r="D16" s="2" t="s">
        <v>76</v>
      </c>
      <c r="E16" s="4" t="s">
        <v>20</v>
      </c>
      <c r="G16" s="2" t="s">
        <v>15</v>
      </c>
      <c r="I16" s="17"/>
      <c r="J16" s="2" t="s">
        <v>51</v>
      </c>
      <c r="K16" t="s">
        <v>77</v>
      </c>
    </row>
    <row r="17" spans="1:11" ht="17">
      <c r="A17">
        <v>16</v>
      </c>
      <c r="B17" t="s">
        <v>11</v>
      </c>
      <c r="C17" t="s">
        <v>78</v>
      </c>
      <c r="D17" s="2" t="s">
        <v>79</v>
      </c>
      <c r="E17" s="9" t="s">
        <v>80</v>
      </c>
      <c r="G17" s="2" t="s">
        <v>15</v>
      </c>
      <c r="I17" s="17" t="s">
        <v>431</v>
      </c>
      <c r="J17" s="2" t="s">
        <v>81</v>
      </c>
      <c r="K17" t="s">
        <v>82</v>
      </c>
    </row>
    <row r="18" spans="1:11" ht="17">
      <c r="A18">
        <v>17</v>
      </c>
      <c r="B18" t="s">
        <v>11</v>
      </c>
      <c r="C18" t="s">
        <v>83</v>
      </c>
      <c r="D18" s="2" t="s">
        <v>84</v>
      </c>
      <c r="E18" s="4" t="s">
        <v>20</v>
      </c>
      <c r="F18" s="2" t="s">
        <v>14</v>
      </c>
      <c r="G18" s="2" t="s">
        <v>15</v>
      </c>
      <c r="I18" s="17" t="s">
        <v>431</v>
      </c>
      <c r="J18" s="2" t="s">
        <v>85</v>
      </c>
      <c r="K18" t="s">
        <v>86</v>
      </c>
    </row>
    <row r="19" spans="1:11" ht="17">
      <c r="A19">
        <v>18</v>
      </c>
      <c r="B19" t="s">
        <v>87</v>
      </c>
      <c r="C19" t="s">
        <v>88</v>
      </c>
      <c r="D19" s="2" t="s">
        <v>89</v>
      </c>
      <c r="E19" s="3" t="s">
        <v>14</v>
      </c>
      <c r="G19" s="2" t="s">
        <v>15</v>
      </c>
      <c r="I19" s="17" t="s">
        <v>431</v>
      </c>
      <c r="J19" s="2" t="s">
        <v>69</v>
      </c>
      <c r="K19" t="s">
        <v>90</v>
      </c>
    </row>
    <row r="20" spans="1:11" ht="17">
      <c r="A20">
        <v>19</v>
      </c>
      <c r="B20" t="s">
        <v>87</v>
      </c>
      <c r="C20" t="s">
        <v>91</v>
      </c>
      <c r="D20" s="2" t="s">
        <v>92</v>
      </c>
      <c r="E20" s="4" t="s">
        <v>20</v>
      </c>
      <c r="F20" s="2" t="s">
        <v>14</v>
      </c>
      <c r="G20" s="2" t="s">
        <v>15</v>
      </c>
      <c r="I20" s="17" t="s">
        <v>431</v>
      </c>
      <c r="J20" s="2" t="s">
        <v>93</v>
      </c>
      <c r="K20" t="s">
        <v>94</v>
      </c>
    </row>
    <row r="21" spans="1:11" ht="17">
      <c r="A21">
        <v>20</v>
      </c>
      <c r="B21" t="s">
        <v>87</v>
      </c>
      <c r="C21" t="s">
        <v>95</v>
      </c>
      <c r="D21" s="2" t="s">
        <v>96</v>
      </c>
      <c r="E21" s="3" t="s">
        <v>14</v>
      </c>
      <c r="G21" s="2" t="s">
        <v>15</v>
      </c>
      <c r="I21" s="17"/>
      <c r="J21" s="2" t="s">
        <v>73</v>
      </c>
      <c r="K21" t="s">
        <v>97</v>
      </c>
    </row>
    <row r="22" spans="1:11" ht="17">
      <c r="A22">
        <v>21</v>
      </c>
      <c r="B22" t="s">
        <v>87</v>
      </c>
      <c r="C22" t="s">
        <v>98</v>
      </c>
      <c r="D22" s="2" t="s">
        <v>99</v>
      </c>
      <c r="E22" s="4" t="s">
        <v>20</v>
      </c>
      <c r="F22" s="2" t="s">
        <v>14</v>
      </c>
      <c r="G22" s="2" t="s">
        <v>15</v>
      </c>
      <c r="H22" s="2" t="s">
        <v>100</v>
      </c>
      <c r="I22" s="17" t="s">
        <v>431</v>
      </c>
      <c r="J22" s="2" t="s">
        <v>101</v>
      </c>
      <c r="K22" t="s">
        <v>102</v>
      </c>
    </row>
    <row r="23" spans="1:11" ht="17">
      <c r="A23">
        <v>22</v>
      </c>
      <c r="B23" t="s">
        <v>87</v>
      </c>
      <c r="C23" t="s">
        <v>103</v>
      </c>
      <c r="D23" s="2" t="s">
        <v>104</v>
      </c>
      <c r="E23" s="3" t="s">
        <v>14</v>
      </c>
      <c r="G23" s="2" t="s">
        <v>15</v>
      </c>
      <c r="H23" s="2" t="s">
        <v>105</v>
      </c>
      <c r="I23" s="17" t="s">
        <v>431</v>
      </c>
      <c r="J23" s="2" t="s">
        <v>106</v>
      </c>
      <c r="K23" t="s">
        <v>107</v>
      </c>
    </row>
    <row r="24" spans="1:11" ht="17">
      <c r="A24">
        <v>23</v>
      </c>
      <c r="B24" t="s">
        <v>87</v>
      </c>
      <c r="C24" t="s">
        <v>108</v>
      </c>
      <c r="D24" s="2" t="s">
        <v>109</v>
      </c>
      <c r="E24" s="8" t="s">
        <v>63</v>
      </c>
      <c r="G24" s="2" t="s">
        <v>15</v>
      </c>
      <c r="I24" s="17"/>
      <c r="J24" s="2" t="s">
        <v>110</v>
      </c>
      <c r="K24" t="s">
        <v>111</v>
      </c>
    </row>
    <row r="25" spans="1:11" ht="17">
      <c r="A25">
        <v>24</v>
      </c>
      <c r="B25" t="s">
        <v>87</v>
      </c>
      <c r="C25" t="s">
        <v>112</v>
      </c>
      <c r="D25" s="2" t="s">
        <v>113</v>
      </c>
      <c r="E25" s="3" t="s">
        <v>14</v>
      </c>
      <c r="G25" s="2" t="s">
        <v>15</v>
      </c>
      <c r="H25" s="2" t="s">
        <v>114</v>
      </c>
      <c r="I25" s="17" t="s">
        <v>431</v>
      </c>
      <c r="J25" s="2" t="s">
        <v>64</v>
      </c>
      <c r="K25" t="s">
        <v>115</v>
      </c>
    </row>
    <row r="26" spans="1:11" ht="17">
      <c r="A26">
        <v>25</v>
      </c>
      <c r="B26" t="s">
        <v>87</v>
      </c>
      <c r="C26" t="s">
        <v>116</v>
      </c>
      <c r="D26" s="2" t="s">
        <v>117</v>
      </c>
      <c r="E26" s="9" t="s">
        <v>80</v>
      </c>
      <c r="G26" s="2" t="s">
        <v>15</v>
      </c>
      <c r="I26" s="17"/>
      <c r="J26" s="2" t="s">
        <v>118</v>
      </c>
      <c r="K26" t="s">
        <v>119</v>
      </c>
    </row>
    <row r="27" spans="1:11" ht="17">
      <c r="A27">
        <v>26</v>
      </c>
      <c r="B27" t="s">
        <v>87</v>
      </c>
      <c r="C27" t="s">
        <v>120</v>
      </c>
      <c r="D27" s="2" t="s">
        <v>121</v>
      </c>
      <c r="E27" s="9" t="s">
        <v>80</v>
      </c>
      <c r="G27" s="2" t="s">
        <v>15</v>
      </c>
      <c r="H27" s="2" t="s">
        <v>122</v>
      </c>
      <c r="I27" s="17"/>
      <c r="J27" s="2" t="s">
        <v>64</v>
      </c>
      <c r="K27" t="s">
        <v>123</v>
      </c>
    </row>
    <row r="28" spans="1:11" ht="17">
      <c r="A28">
        <v>27</v>
      </c>
      <c r="B28" t="s">
        <v>87</v>
      </c>
      <c r="C28" t="s">
        <v>124</v>
      </c>
      <c r="D28" s="2" t="s">
        <v>125</v>
      </c>
      <c r="E28" s="4" t="s">
        <v>20</v>
      </c>
      <c r="G28" s="2" t="s">
        <v>15</v>
      </c>
      <c r="H28" s="2" t="s">
        <v>100</v>
      </c>
      <c r="I28" s="17" t="s">
        <v>431</v>
      </c>
      <c r="J28" s="2" t="s">
        <v>126</v>
      </c>
      <c r="K28" t="s">
        <v>127</v>
      </c>
    </row>
    <row r="29" spans="1:11" ht="17">
      <c r="A29">
        <v>28</v>
      </c>
      <c r="B29" t="s">
        <v>87</v>
      </c>
      <c r="C29" t="s">
        <v>128</v>
      </c>
      <c r="D29" s="2" t="s">
        <v>129</v>
      </c>
      <c r="E29" s="4" t="s">
        <v>20</v>
      </c>
      <c r="F29" s="2" t="s">
        <v>14</v>
      </c>
      <c r="G29" s="2" t="s">
        <v>15</v>
      </c>
      <c r="I29" s="17" t="s">
        <v>431</v>
      </c>
      <c r="J29" s="2" t="s">
        <v>130</v>
      </c>
      <c r="K29" t="s">
        <v>131</v>
      </c>
    </row>
    <row r="30" spans="1:11" ht="17">
      <c r="A30">
        <v>29</v>
      </c>
      <c r="B30" t="s">
        <v>87</v>
      </c>
      <c r="C30" t="s">
        <v>132</v>
      </c>
      <c r="D30" s="2" t="s">
        <v>133</v>
      </c>
      <c r="E30" s="4" t="s">
        <v>20</v>
      </c>
      <c r="G30" s="2" t="s">
        <v>15</v>
      </c>
      <c r="I30" s="17" t="s">
        <v>431</v>
      </c>
      <c r="J30" s="2" t="s">
        <v>134</v>
      </c>
      <c r="K30" t="s">
        <v>135</v>
      </c>
    </row>
    <row r="31" spans="1:11" ht="17">
      <c r="A31">
        <v>30</v>
      </c>
      <c r="B31" t="s">
        <v>87</v>
      </c>
      <c r="C31" t="s">
        <v>136</v>
      </c>
      <c r="D31" s="2" t="s">
        <v>137</v>
      </c>
      <c r="E31" s="9" t="s">
        <v>80</v>
      </c>
      <c r="G31" s="2" t="s">
        <v>15</v>
      </c>
      <c r="I31" s="17" t="s">
        <v>431</v>
      </c>
      <c r="J31" s="2" t="s">
        <v>138</v>
      </c>
      <c r="K31" t="s">
        <v>139</v>
      </c>
    </row>
    <row r="32" spans="1:11" ht="17">
      <c r="A32">
        <v>31</v>
      </c>
      <c r="B32" t="s">
        <v>87</v>
      </c>
      <c r="C32" t="s">
        <v>140</v>
      </c>
      <c r="D32" s="2" t="s">
        <v>141</v>
      </c>
      <c r="E32" s="8" t="s">
        <v>63</v>
      </c>
      <c r="G32" s="2" t="s">
        <v>15</v>
      </c>
      <c r="H32" s="2" t="s">
        <v>142</v>
      </c>
      <c r="I32" s="17"/>
      <c r="J32" s="2" t="s">
        <v>143</v>
      </c>
      <c r="K32" t="s">
        <v>144</v>
      </c>
    </row>
    <row r="33" spans="1:11" ht="17">
      <c r="A33">
        <v>32</v>
      </c>
      <c r="B33" t="s">
        <v>87</v>
      </c>
      <c r="C33" t="s">
        <v>145</v>
      </c>
      <c r="D33" s="2" t="s">
        <v>146</v>
      </c>
      <c r="E33" s="7" t="s">
        <v>46</v>
      </c>
      <c r="G33" s="2" t="s">
        <v>15</v>
      </c>
      <c r="I33" s="17" t="s">
        <v>431</v>
      </c>
      <c r="J33" s="2" t="s">
        <v>147</v>
      </c>
      <c r="K33" t="s">
        <v>148</v>
      </c>
    </row>
    <row r="34" spans="1:11" ht="17">
      <c r="A34">
        <v>33</v>
      </c>
      <c r="B34" t="s">
        <v>87</v>
      </c>
      <c r="C34" t="s">
        <v>149</v>
      </c>
      <c r="D34" s="2" t="s">
        <v>150</v>
      </c>
      <c r="E34" s="4" t="s">
        <v>20</v>
      </c>
      <c r="F34" s="2" t="s">
        <v>14</v>
      </c>
      <c r="G34" s="2" t="s">
        <v>15</v>
      </c>
      <c r="I34" s="17" t="s">
        <v>431</v>
      </c>
      <c r="J34" s="2" t="s">
        <v>151</v>
      </c>
      <c r="K34" t="s">
        <v>152</v>
      </c>
    </row>
    <row r="35" spans="1:11" ht="17">
      <c r="A35">
        <v>34</v>
      </c>
      <c r="B35" t="s">
        <v>87</v>
      </c>
      <c r="C35" t="s">
        <v>153</v>
      </c>
      <c r="D35" s="2" t="s">
        <v>154</v>
      </c>
      <c r="E35" s="8" t="s">
        <v>63</v>
      </c>
      <c r="G35" s="2" t="s">
        <v>15</v>
      </c>
      <c r="I35" s="17"/>
      <c r="J35" s="2" t="s">
        <v>42</v>
      </c>
      <c r="K35" t="s">
        <v>155</v>
      </c>
    </row>
    <row r="36" spans="1:11" ht="17">
      <c r="A36">
        <v>35</v>
      </c>
      <c r="B36" t="s">
        <v>87</v>
      </c>
      <c r="C36" t="s">
        <v>156</v>
      </c>
      <c r="D36" s="2" t="s">
        <v>157</v>
      </c>
      <c r="E36" s="5" t="s">
        <v>25</v>
      </c>
      <c r="G36" s="2" t="s">
        <v>15</v>
      </c>
      <c r="H36" s="2" t="s">
        <v>158</v>
      </c>
      <c r="I36" s="17" t="s">
        <v>431</v>
      </c>
      <c r="J36" s="2" t="s">
        <v>118</v>
      </c>
      <c r="K36" t="s">
        <v>159</v>
      </c>
    </row>
    <row r="37" spans="1:11" ht="17">
      <c r="A37">
        <v>36</v>
      </c>
      <c r="B37" t="s">
        <v>87</v>
      </c>
      <c r="C37" t="s">
        <v>160</v>
      </c>
      <c r="D37" t="s">
        <v>161</v>
      </c>
      <c r="E37" s="9" t="s">
        <v>80</v>
      </c>
      <c r="G37" s="2" t="s">
        <v>15</v>
      </c>
      <c r="H37" s="2" t="s">
        <v>100</v>
      </c>
      <c r="I37" s="17" t="s">
        <v>431</v>
      </c>
      <c r="J37" s="2" t="s">
        <v>162</v>
      </c>
      <c r="K37" t="s">
        <v>163</v>
      </c>
    </row>
    <row r="38" spans="1:11" ht="17">
      <c r="A38">
        <v>37</v>
      </c>
      <c r="B38" t="s">
        <v>87</v>
      </c>
      <c r="C38" t="s">
        <v>164</v>
      </c>
      <c r="D38" s="2" t="s">
        <v>165</v>
      </c>
      <c r="E38" s="4" t="s">
        <v>20</v>
      </c>
      <c r="F38" s="2" t="s">
        <v>14</v>
      </c>
      <c r="G38" s="2" t="s">
        <v>15</v>
      </c>
      <c r="I38" s="17"/>
      <c r="J38" s="2" t="s">
        <v>166</v>
      </c>
      <c r="K38" t="s">
        <v>167</v>
      </c>
    </row>
    <row r="39" spans="1:11" ht="17">
      <c r="A39">
        <v>38</v>
      </c>
      <c r="B39" t="s">
        <v>87</v>
      </c>
      <c r="C39" t="s">
        <v>168</v>
      </c>
      <c r="D39" s="2" t="s">
        <v>169</v>
      </c>
      <c r="E39" s="10" t="s">
        <v>170</v>
      </c>
      <c r="G39" s="2" t="s">
        <v>15</v>
      </c>
      <c r="I39" s="17" t="s">
        <v>431</v>
      </c>
      <c r="J39" s="2" t="s">
        <v>106</v>
      </c>
      <c r="K39" t="s">
        <v>171</v>
      </c>
    </row>
    <row r="40" spans="1:11" ht="17">
      <c r="A40">
        <v>39</v>
      </c>
      <c r="B40" t="s">
        <v>87</v>
      </c>
      <c r="C40" t="s">
        <v>172</v>
      </c>
      <c r="D40" s="2" t="s">
        <v>173</v>
      </c>
      <c r="E40" s="4" t="s">
        <v>20</v>
      </c>
      <c r="G40" s="2" t="s">
        <v>15</v>
      </c>
      <c r="I40" s="17" t="s">
        <v>431</v>
      </c>
      <c r="J40" s="2" t="s">
        <v>16</v>
      </c>
      <c r="K40" t="s">
        <v>174</v>
      </c>
    </row>
    <row r="41" spans="1:11" ht="17">
      <c r="A41">
        <v>40</v>
      </c>
      <c r="B41" t="s">
        <v>87</v>
      </c>
      <c r="C41" t="s">
        <v>175</v>
      </c>
      <c r="D41" s="2" t="s">
        <v>176</v>
      </c>
      <c r="E41" s="3" t="s">
        <v>14</v>
      </c>
      <c r="G41" s="2" t="s">
        <v>15</v>
      </c>
      <c r="H41" s="2" t="s">
        <v>114</v>
      </c>
      <c r="I41" s="17" t="s">
        <v>431</v>
      </c>
      <c r="J41" s="2" t="s">
        <v>177</v>
      </c>
      <c r="K41" t="s">
        <v>178</v>
      </c>
    </row>
    <row r="42" spans="1:11" ht="17">
      <c r="A42">
        <v>41</v>
      </c>
      <c r="B42" t="s">
        <v>87</v>
      </c>
      <c r="C42" t="s">
        <v>179</v>
      </c>
      <c r="D42" s="2" t="s">
        <v>180</v>
      </c>
      <c r="E42" s="11" t="s">
        <v>68</v>
      </c>
      <c r="G42" s="2" t="s">
        <v>15</v>
      </c>
      <c r="I42" s="17" t="s">
        <v>431</v>
      </c>
      <c r="J42" s="2" t="s">
        <v>118</v>
      </c>
      <c r="K42" t="s">
        <v>181</v>
      </c>
    </row>
    <row r="43" spans="1:11" ht="17">
      <c r="A43">
        <v>42</v>
      </c>
      <c r="B43" t="s">
        <v>87</v>
      </c>
      <c r="C43" t="s">
        <v>182</v>
      </c>
      <c r="D43" s="2" t="s">
        <v>183</v>
      </c>
      <c r="E43" s="9" t="s">
        <v>80</v>
      </c>
      <c r="G43" s="2" t="s">
        <v>15</v>
      </c>
      <c r="I43" s="17" t="s">
        <v>431</v>
      </c>
      <c r="J43" s="2" t="s">
        <v>106</v>
      </c>
      <c r="K43" t="s">
        <v>184</v>
      </c>
    </row>
    <row r="44" spans="1:11" ht="17">
      <c r="A44">
        <v>43</v>
      </c>
      <c r="B44" t="s">
        <v>87</v>
      </c>
      <c r="C44" t="s">
        <v>185</v>
      </c>
      <c r="D44" s="2" t="s">
        <v>186</v>
      </c>
      <c r="E44" s="8" t="s">
        <v>63</v>
      </c>
      <c r="G44" s="2" t="s">
        <v>15</v>
      </c>
      <c r="I44" s="17" t="s">
        <v>431</v>
      </c>
      <c r="J44" s="2" t="s">
        <v>110</v>
      </c>
      <c r="K44" t="s">
        <v>187</v>
      </c>
    </row>
    <row r="45" spans="1:11" ht="17">
      <c r="A45">
        <v>44</v>
      </c>
      <c r="B45" t="s">
        <v>87</v>
      </c>
      <c r="C45" t="s">
        <v>188</v>
      </c>
      <c r="D45" s="2" t="s">
        <v>189</v>
      </c>
      <c r="E45" s="8" t="s">
        <v>63</v>
      </c>
      <c r="G45" s="2" t="s">
        <v>15</v>
      </c>
      <c r="H45" s="2" t="s">
        <v>142</v>
      </c>
      <c r="I45" s="17" t="s">
        <v>431</v>
      </c>
      <c r="J45" s="2" t="s">
        <v>69</v>
      </c>
      <c r="K45" t="s">
        <v>190</v>
      </c>
    </row>
    <row r="46" spans="1:11" ht="17">
      <c r="A46">
        <v>45</v>
      </c>
      <c r="B46" t="s">
        <v>87</v>
      </c>
      <c r="C46" t="s">
        <v>191</v>
      </c>
      <c r="D46" s="2" t="s">
        <v>192</v>
      </c>
      <c r="E46" s="8" t="s">
        <v>63</v>
      </c>
      <c r="G46" s="2" t="s">
        <v>15</v>
      </c>
      <c r="I46" s="17" t="s">
        <v>431</v>
      </c>
      <c r="J46" s="2" t="s">
        <v>193</v>
      </c>
      <c r="K46" t="s">
        <v>194</v>
      </c>
    </row>
    <row r="47" spans="1:11" ht="17">
      <c r="A47">
        <v>46</v>
      </c>
      <c r="B47" t="s">
        <v>87</v>
      </c>
      <c r="C47" t="s">
        <v>195</v>
      </c>
      <c r="D47" s="2" t="s">
        <v>196</v>
      </c>
      <c r="E47" s="5" t="s">
        <v>25</v>
      </c>
      <c r="G47" s="2" t="s">
        <v>15</v>
      </c>
      <c r="I47" s="17" t="s">
        <v>431</v>
      </c>
      <c r="J47" s="2" t="s">
        <v>16</v>
      </c>
      <c r="K47" t="s">
        <v>197</v>
      </c>
    </row>
    <row r="48" spans="1:11" ht="17">
      <c r="A48">
        <v>47</v>
      </c>
      <c r="B48" t="s">
        <v>87</v>
      </c>
      <c r="C48" t="s">
        <v>198</v>
      </c>
      <c r="D48" s="2" t="s">
        <v>199</v>
      </c>
      <c r="E48" s="8" t="s">
        <v>63</v>
      </c>
      <c r="G48" s="2" t="s">
        <v>15</v>
      </c>
      <c r="I48" s="17"/>
      <c r="J48" s="2" t="s">
        <v>26</v>
      </c>
      <c r="K48" t="s">
        <v>200</v>
      </c>
    </row>
    <row r="49" spans="1:11" ht="17">
      <c r="A49">
        <v>48</v>
      </c>
      <c r="B49" t="s">
        <v>87</v>
      </c>
      <c r="C49" t="s">
        <v>201</v>
      </c>
      <c r="D49" s="2" t="s">
        <v>202</v>
      </c>
      <c r="E49" s="3" t="s">
        <v>14</v>
      </c>
      <c r="G49" s="2" t="s">
        <v>15</v>
      </c>
      <c r="I49" s="17" t="s">
        <v>431</v>
      </c>
      <c r="J49" s="2" t="s">
        <v>203</v>
      </c>
      <c r="K49" t="s">
        <v>204</v>
      </c>
    </row>
    <row r="50" spans="1:11" ht="17">
      <c r="A50">
        <v>49</v>
      </c>
      <c r="B50" t="s">
        <v>87</v>
      </c>
      <c r="C50" t="s">
        <v>201</v>
      </c>
      <c r="D50" s="2" t="s">
        <v>205</v>
      </c>
      <c r="E50" s="5" t="s">
        <v>25</v>
      </c>
      <c r="G50" s="2" t="s">
        <v>15</v>
      </c>
      <c r="I50" s="17" t="s">
        <v>431</v>
      </c>
      <c r="J50" s="2" t="s">
        <v>203</v>
      </c>
      <c r="K50" t="s">
        <v>204</v>
      </c>
    </row>
    <row r="51" spans="1:11" ht="17">
      <c r="A51">
        <v>50</v>
      </c>
      <c r="B51" t="s">
        <v>87</v>
      </c>
      <c r="C51" t="s">
        <v>206</v>
      </c>
      <c r="D51" s="2" t="s">
        <v>207</v>
      </c>
      <c r="E51" s="4" t="s">
        <v>20</v>
      </c>
      <c r="G51" s="2" t="s">
        <v>15</v>
      </c>
      <c r="I51" s="17" t="s">
        <v>431</v>
      </c>
      <c r="J51" s="2" t="s">
        <v>208</v>
      </c>
      <c r="K51" t="s">
        <v>209</v>
      </c>
    </row>
    <row r="52" spans="1:11" ht="17">
      <c r="A52">
        <v>51</v>
      </c>
      <c r="B52" t="s">
        <v>87</v>
      </c>
      <c r="C52" t="s">
        <v>210</v>
      </c>
      <c r="D52" s="2" t="s">
        <v>211</v>
      </c>
      <c r="E52" s="8" t="s">
        <v>63</v>
      </c>
      <c r="G52" s="2" t="s">
        <v>15</v>
      </c>
      <c r="H52" s="2" t="s">
        <v>142</v>
      </c>
      <c r="I52" s="17"/>
      <c r="J52" s="2" t="s">
        <v>33</v>
      </c>
      <c r="K52" t="s">
        <v>212</v>
      </c>
    </row>
    <row r="53" spans="1:11" ht="17">
      <c r="A53">
        <v>52</v>
      </c>
      <c r="B53" t="s">
        <v>87</v>
      </c>
      <c r="C53" t="s">
        <v>210</v>
      </c>
      <c r="D53" s="2" t="s">
        <v>213</v>
      </c>
      <c r="E53" s="9" t="s">
        <v>80</v>
      </c>
      <c r="G53" s="2" t="s">
        <v>15</v>
      </c>
      <c r="I53" s="17"/>
      <c r="J53" s="2" t="s">
        <v>214</v>
      </c>
      <c r="K53" t="s">
        <v>215</v>
      </c>
    </row>
    <row r="54" spans="1:11" ht="17">
      <c r="A54">
        <v>53</v>
      </c>
      <c r="B54" t="s">
        <v>87</v>
      </c>
      <c r="C54" t="s">
        <v>216</v>
      </c>
      <c r="D54" s="2" t="s">
        <v>217</v>
      </c>
      <c r="E54" s="10" t="s">
        <v>170</v>
      </c>
      <c r="G54" s="2" t="s">
        <v>15</v>
      </c>
      <c r="I54" s="17" t="s">
        <v>431</v>
      </c>
      <c r="J54" s="2" t="s">
        <v>93</v>
      </c>
      <c r="K54" t="s">
        <v>218</v>
      </c>
    </row>
    <row r="55" spans="1:11" ht="17">
      <c r="A55">
        <v>54</v>
      </c>
      <c r="B55" t="s">
        <v>87</v>
      </c>
      <c r="C55" t="s">
        <v>219</v>
      </c>
      <c r="D55" s="2" t="s">
        <v>220</v>
      </c>
      <c r="E55" s="10" t="s">
        <v>170</v>
      </c>
      <c r="G55" s="2" t="s">
        <v>15</v>
      </c>
      <c r="I55" s="17" t="s">
        <v>431</v>
      </c>
      <c r="J55" s="2" t="s">
        <v>73</v>
      </c>
      <c r="K55" t="s">
        <v>221</v>
      </c>
    </row>
    <row r="56" spans="1:11" ht="17">
      <c r="A56">
        <v>55</v>
      </c>
      <c r="B56" t="s">
        <v>87</v>
      </c>
      <c r="C56" t="s">
        <v>222</v>
      </c>
      <c r="D56" s="2" t="s">
        <v>223</v>
      </c>
      <c r="E56" s="7" t="s">
        <v>46</v>
      </c>
      <c r="G56" s="2" t="s">
        <v>224</v>
      </c>
      <c r="H56" s="2" t="s">
        <v>114</v>
      </c>
      <c r="I56" s="17" t="s">
        <v>431</v>
      </c>
      <c r="J56" s="2" t="s">
        <v>225</v>
      </c>
      <c r="K56" t="s">
        <v>226</v>
      </c>
    </row>
    <row r="57" spans="1:11" ht="17">
      <c r="A57">
        <v>56</v>
      </c>
      <c r="B57" t="s">
        <v>87</v>
      </c>
      <c r="C57" t="s">
        <v>227</v>
      </c>
      <c r="D57" s="2" t="s">
        <v>228</v>
      </c>
      <c r="E57" s="4" t="s">
        <v>20</v>
      </c>
      <c r="F57" s="2" t="s">
        <v>14</v>
      </c>
      <c r="G57" s="2" t="s">
        <v>15</v>
      </c>
      <c r="I57" s="17" t="s">
        <v>431</v>
      </c>
      <c r="J57" s="2" t="s">
        <v>166</v>
      </c>
      <c r="K57" t="s">
        <v>229</v>
      </c>
    </row>
    <row r="58" spans="1:11" ht="17">
      <c r="A58">
        <v>57</v>
      </c>
      <c r="B58" t="s">
        <v>230</v>
      </c>
      <c r="C58" t="s">
        <v>231</v>
      </c>
      <c r="D58" s="2" t="s">
        <v>232</v>
      </c>
      <c r="E58" s="9" t="s">
        <v>80</v>
      </c>
      <c r="G58" s="2" t="s">
        <v>15</v>
      </c>
      <c r="H58" s="2" t="s">
        <v>122</v>
      </c>
      <c r="I58" s="17" t="s">
        <v>431</v>
      </c>
      <c r="J58" s="2" t="s">
        <v>233</v>
      </c>
      <c r="K58" t="s">
        <v>234</v>
      </c>
    </row>
    <row r="59" spans="1:11" ht="17">
      <c r="A59">
        <v>58</v>
      </c>
      <c r="B59" t="s">
        <v>230</v>
      </c>
      <c r="C59" t="s">
        <v>235</v>
      </c>
      <c r="D59" s="2" t="s">
        <v>236</v>
      </c>
      <c r="E59" s="5" t="s">
        <v>25</v>
      </c>
      <c r="G59" s="2" t="s">
        <v>224</v>
      </c>
      <c r="I59" s="17"/>
      <c r="J59" s="2" t="s">
        <v>33</v>
      </c>
      <c r="K59" t="s">
        <v>237</v>
      </c>
    </row>
    <row r="60" spans="1:11" ht="17">
      <c r="A60">
        <v>59</v>
      </c>
      <c r="B60" t="s">
        <v>230</v>
      </c>
      <c r="C60" t="s">
        <v>238</v>
      </c>
      <c r="D60" s="2" t="s">
        <v>239</v>
      </c>
      <c r="E60" s="8" t="s">
        <v>63</v>
      </c>
      <c r="G60" s="2" t="s">
        <v>15</v>
      </c>
      <c r="I60" s="17"/>
      <c r="J60" s="2" t="s">
        <v>151</v>
      </c>
      <c r="K60" t="s">
        <v>240</v>
      </c>
    </row>
    <row r="61" spans="1:11" ht="17">
      <c r="A61">
        <v>60</v>
      </c>
      <c r="B61" t="s">
        <v>230</v>
      </c>
      <c r="C61" t="s">
        <v>241</v>
      </c>
      <c r="D61" s="2" t="s">
        <v>242</v>
      </c>
      <c r="E61" s="7" t="s">
        <v>46</v>
      </c>
      <c r="G61" s="2" t="s">
        <v>15</v>
      </c>
      <c r="H61" s="2" t="s">
        <v>142</v>
      </c>
      <c r="I61" s="17" t="s">
        <v>431</v>
      </c>
      <c r="J61" s="2" t="s">
        <v>243</v>
      </c>
      <c r="K61" t="s">
        <v>244</v>
      </c>
    </row>
    <row r="62" spans="1:11" ht="17">
      <c r="A62">
        <v>61</v>
      </c>
      <c r="B62" t="s">
        <v>230</v>
      </c>
      <c r="C62" t="s">
        <v>245</v>
      </c>
      <c r="D62" s="2" t="s">
        <v>246</v>
      </c>
      <c r="E62" s="7" t="s">
        <v>46</v>
      </c>
      <c r="G62" s="2" t="s">
        <v>15</v>
      </c>
      <c r="H62" s="2" t="s">
        <v>114</v>
      </c>
      <c r="I62" s="17" t="s">
        <v>431</v>
      </c>
      <c r="J62" s="2" t="s">
        <v>247</v>
      </c>
      <c r="K62" t="s">
        <v>248</v>
      </c>
    </row>
    <row r="63" spans="1:11" ht="17">
      <c r="A63">
        <v>62</v>
      </c>
      <c r="B63" t="s">
        <v>230</v>
      </c>
      <c r="C63" t="s">
        <v>249</v>
      </c>
      <c r="D63" s="2" t="s">
        <v>250</v>
      </c>
      <c r="E63" s="7" t="s">
        <v>46</v>
      </c>
      <c r="G63" s="2" t="s">
        <v>15</v>
      </c>
      <c r="H63" s="2" t="s">
        <v>142</v>
      </c>
      <c r="I63" s="17" t="s">
        <v>431</v>
      </c>
      <c r="J63" s="2" t="s">
        <v>16</v>
      </c>
      <c r="K63" t="s">
        <v>251</v>
      </c>
    </row>
    <row r="64" spans="1:11" ht="17">
      <c r="A64">
        <v>63</v>
      </c>
      <c r="B64" t="s">
        <v>230</v>
      </c>
      <c r="C64" t="s">
        <v>252</v>
      </c>
      <c r="D64" s="2" t="s">
        <v>253</v>
      </c>
      <c r="E64" s="4" t="s">
        <v>20</v>
      </c>
      <c r="F64" s="2" t="s">
        <v>170</v>
      </c>
      <c r="G64" s="2" t="s">
        <v>15</v>
      </c>
      <c r="I64" s="17"/>
      <c r="J64" s="2" t="s">
        <v>130</v>
      </c>
      <c r="K64" t="s">
        <v>254</v>
      </c>
    </row>
    <row r="65" spans="1:11" ht="63">
      <c r="A65">
        <v>64</v>
      </c>
      <c r="B65" t="s">
        <v>230</v>
      </c>
      <c r="C65" t="s">
        <v>255</v>
      </c>
      <c r="D65" t="s">
        <v>256</v>
      </c>
      <c r="E65" s="5" t="s">
        <v>25</v>
      </c>
      <c r="G65" s="2" t="s">
        <v>15</v>
      </c>
      <c r="I65" s="17"/>
      <c r="J65" s="2" t="s">
        <v>257</v>
      </c>
      <c r="K65" s="12" t="s">
        <v>258</v>
      </c>
    </row>
    <row r="66" spans="1:11" ht="17">
      <c r="A66">
        <v>65</v>
      </c>
      <c r="B66" t="s">
        <v>230</v>
      </c>
      <c r="C66" t="s">
        <v>259</v>
      </c>
      <c r="D66" s="2" t="s">
        <v>260</v>
      </c>
      <c r="E66" s="8" t="s">
        <v>63</v>
      </c>
      <c r="G66" s="2" t="s">
        <v>15</v>
      </c>
      <c r="I66" s="17"/>
      <c r="J66" s="2" t="s">
        <v>64</v>
      </c>
      <c r="K66" t="s">
        <v>261</v>
      </c>
    </row>
    <row r="67" spans="1:11" ht="17">
      <c r="A67">
        <v>66</v>
      </c>
      <c r="B67" t="s">
        <v>230</v>
      </c>
      <c r="C67" t="s">
        <v>262</v>
      </c>
      <c r="D67" s="2" t="s">
        <v>263</v>
      </c>
      <c r="E67" s="3" t="s">
        <v>14</v>
      </c>
      <c r="G67" s="2" t="s">
        <v>15</v>
      </c>
      <c r="I67" s="17"/>
      <c r="J67" s="2" t="s">
        <v>51</v>
      </c>
      <c r="K67" t="s">
        <v>264</v>
      </c>
    </row>
    <row r="68" spans="1:11" ht="17">
      <c r="A68">
        <v>67</v>
      </c>
      <c r="B68" t="s">
        <v>230</v>
      </c>
      <c r="C68" t="s">
        <v>265</v>
      </c>
      <c r="D68" s="2" t="s">
        <v>266</v>
      </c>
      <c r="E68" s="8" t="s">
        <v>63</v>
      </c>
      <c r="G68" s="2" t="s">
        <v>15</v>
      </c>
      <c r="H68" s="2" t="s">
        <v>142</v>
      </c>
      <c r="I68" s="17"/>
      <c r="J68" s="2" t="s">
        <v>214</v>
      </c>
      <c r="K68" t="s">
        <v>267</v>
      </c>
    </row>
    <row r="69" spans="1:11" ht="17">
      <c r="A69">
        <v>68</v>
      </c>
      <c r="B69" t="s">
        <v>230</v>
      </c>
      <c r="C69" t="s">
        <v>268</v>
      </c>
      <c r="D69" s="2" t="s">
        <v>269</v>
      </c>
      <c r="E69" s="3" t="s">
        <v>14</v>
      </c>
      <c r="G69" s="2" t="s">
        <v>15</v>
      </c>
      <c r="I69" s="17"/>
      <c r="J69" s="2" t="s">
        <v>59</v>
      </c>
      <c r="K69" t="s">
        <v>270</v>
      </c>
    </row>
    <row r="70" spans="1:11" ht="17">
      <c r="A70">
        <v>69</v>
      </c>
      <c r="B70" t="s">
        <v>230</v>
      </c>
      <c r="C70" t="s">
        <v>271</v>
      </c>
      <c r="D70" s="2" t="s">
        <v>272</v>
      </c>
      <c r="E70" s="8" t="s">
        <v>63</v>
      </c>
      <c r="G70" s="2" t="s">
        <v>15</v>
      </c>
      <c r="I70" s="17"/>
      <c r="J70" s="2" t="s">
        <v>118</v>
      </c>
      <c r="K70" t="s">
        <v>273</v>
      </c>
    </row>
    <row r="71" spans="1:11" ht="17">
      <c r="A71">
        <v>70</v>
      </c>
      <c r="B71" t="s">
        <v>230</v>
      </c>
      <c r="C71" t="s">
        <v>274</v>
      </c>
      <c r="D71" s="2" t="s">
        <v>275</v>
      </c>
      <c r="E71" s="7" t="s">
        <v>46</v>
      </c>
      <c r="G71" s="2" t="s">
        <v>15</v>
      </c>
      <c r="I71" s="17"/>
      <c r="J71" s="2" t="s">
        <v>59</v>
      </c>
      <c r="K71" t="s">
        <v>276</v>
      </c>
    </row>
    <row r="72" spans="1:11" ht="17">
      <c r="A72">
        <v>71</v>
      </c>
      <c r="B72" t="s">
        <v>230</v>
      </c>
      <c r="C72" t="s">
        <v>277</v>
      </c>
      <c r="D72" s="2" t="s">
        <v>278</v>
      </c>
      <c r="E72" s="8" t="s">
        <v>63</v>
      </c>
      <c r="G72" s="2" t="s">
        <v>15</v>
      </c>
      <c r="I72" s="17" t="s">
        <v>431</v>
      </c>
      <c r="J72" s="2" t="s">
        <v>193</v>
      </c>
      <c r="K72" t="s">
        <v>279</v>
      </c>
    </row>
    <row r="73" spans="1:11" ht="17">
      <c r="A73">
        <v>72</v>
      </c>
      <c r="B73" t="s">
        <v>230</v>
      </c>
      <c r="C73" t="s">
        <v>280</v>
      </c>
      <c r="D73" s="2" t="s">
        <v>281</v>
      </c>
      <c r="E73" s="11" t="s">
        <v>68</v>
      </c>
      <c r="F73" s="2" t="s">
        <v>80</v>
      </c>
      <c r="G73" s="2" t="s">
        <v>15</v>
      </c>
      <c r="I73" s="17" t="s">
        <v>431</v>
      </c>
      <c r="J73" s="2" t="s">
        <v>47</v>
      </c>
      <c r="K73" t="s">
        <v>282</v>
      </c>
    </row>
    <row r="74" spans="1:11" ht="17">
      <c r="A74">
        <v>73</v>
      </c>
      <c r="B74" t="s">
        <v>230</v>
      </c>
      <c r="C74" t="s">
        <v>283</v>
      </c>
      <c r="D74" s="2" t="s">
        <v>284</v>
      </c>
      <c r="E74" s="13" t="s">
        <v>285</v>
      </c>
      <c r="G74" s="2" t="s">
        <v>15</v>
      </c>
      <c r="I74" s="17" t="s">
        <v>431</v>
      </c>
      <c r="J74" s="2" t="s">
        <v>147</v>
      </c>
      <c r="K74" t="s">
        <v>286</v>
      </c>
    </row>
    <row r="75" spans="1:11" ht="17">
      <c r="A75">
        <v>74</v>
      </c>
      <c r="B75" t="s">
        <v>230</v>
      </c>
      <c r="C75" t="s">
        <v>287</v>
      </c>
      <c r="D75" s="2" t="s">
        <v>288</v>
      </c>
      <c r="E75" s="8" t="s">
        <v>63</v>
      </c>
      <c r="G75" s="2" t="s">
        <v>15</v>
      </c>
      <c r="I75" s="17"/>
      <c r="J75" s="2" t="s">
        <v>225</v>
      </c>
      <c r="K75" t="s">
        <v>289</v>
      </c>
    </row>
    <row r="76" spans="1:11" ht="17">
      <c r="A76">
        <v>75</v>
      </c>
      <c r="B76" t="s">
        <v>230</v>
      </c>
      <c r="C76" t="s">
        <v>290</v>
      </c>
      <c r="D76" s="2" t="s">
        <v>291</v>
      </c>
      <c r="E76" s="11" t="s">
        <v>68</v>
      </c>
      <c r="G76" s="2" t="s">
        <v>15</v>
      </c>
      <c r="H76" s="2" t="s">
        <v>292</v>
      </c>
      <c r="I76" s="17" t="s">
        <v>431</v>
      </c>
      <c r="J76" s="2" t="s">
        <v>151</v>
      </c>
      <c r="K76" t="s">
        <v>293</v>
      </c>
    </row>
    <row r="77" spans="1:11" ht="17">
      <c r="A77">
        <v>76</v>
      </c>
      <c r="B77" t="s">
        <v>230</v>
      </c>
      <c r="C77" t="s">
        <v>294</v>
      </c>
      <c r="D77" s="2" t="s">
        <v>295</v>
      </c>
      <c r="E77" s="8" t="s">
        <v>63</v>
      </c>
      <c r="F77" s="2" t="s">
        <v>170</v>
      </c>
      <c r="G77" s="2" t="s">
        <v>15</v>
      </c>
      <c r="I77" s="17" t="s">
        <v>431</v>
      </c>
      <c r="J77" s="2" t="s">
        <v>126</v>
      </c>
      <c r="K77" t="s">
        <v>296</v>
      </c>
    </row>
    <row r="78" spans="1:11" ht="17">
      <c r="A78">
        <v>77</v>
      </c>
      <c r="B78" t="s">
        <v>230</v>
      </c>
      <c r="C78" t="s">
        <v>297</v>
      </c>
      <c r="D78" s="2" t="s">
        <v>298</v>
      </c>
      <c r="E78" s="11" t="s">
        <v>68</v>
      </c>
      <c r="G78" s="2" t="s">
        <v>15</v>
      </c>
      <c r="H78" s="2" t="s">
        <v>114</v>
      </c>
      <c r="I78" s="17" t="s">
        <v>431</v>
      </c>
      <c r="J78" s="2" t="s">
        <v>208</v>
      </c>
      <c r="K78" t="s">
        <v>299</v>
      </c>
    </row>
    <row r="79" spans="1:11" ht="17">
      <c r="A79">
        <v>78</v>
      </c>
      <c r="B79" t="s">
        <v>230</v>
      </c>
      <c r="C79" t="s">
        <v>300</v>
      </c>
      <c r="D79" s="2" t="s">
        <v>301</v>
      </c>
      <c r="E79" s="7" t="s">
        <v>46</v>
      </c>
      <c r="G79" s="2" t="s">
        <v>15</v>
      </c>
      <c r="H79" s="2" t="s">
        <v>100</v>
      </c>
      <c r="I79" s="17" t="s">
        <v>431</v>
      </c>
      <c r="J79" s="2" t="s">
        <v>302</v>
      </c>
      <c r="K79" t="s">
        <v>303</v>
      </c>
    </row>
    <row r="80" spans="1:11" ht="17">
      <c r="A80">
        <v>79</v>
      </c>
      <c r="B80" t="s">
        <v>230</v>
      </c>
      <c r="C80" t="s">
        <v>304</v>
      </c>
      <c r="D80" s="2" t="s">
        <v>305</v>
      </c>
      <c r="E80" s="9" t="s">
        <v>80</v>
      </c>
      <c r="G80" s="2" t="s">
        <v>15</v>
      </c>
      <c r="I80" s="17" t="s">
        <v>431</v>
      </c>
      <c r="J80" s="2" t="s">
        <v>73</v>
      </c>
      <c r="K80" t="s">
        <v>306</v>
      </c>
    </row>
    <row r="81" spans="1:11" ht="17">
      <c r="A81">
        <v>80</v>
      </c>
      <c r="B81" t="s">
        <v>230</v>
      </c>
      <c r="C81" t="s">
        <v>307</v>
      </c>
      <c r="D81" t="s">
        <v>308</v>
      </c>
      <c r="E81" s="3" t="s">
        <v>14</v>
      </c>
      <c r="G81" s="2" t="s">
        <v>15</v>
      </c>
      <c r="I81" s="17" t="s">
        <v>431</v>
      </c>
      <c r="J81" s="2" t="s">
        <v>143</v>
      </c>
      <c r="K81" t="s">
        <v>309</v>
      </c>
    </row>
    <row r="82" spans="1:11" ht="17">
      <c r="A82">
        <v>81</v>
      </c>
      <c r="B82" t="s">
        <v>230</v>
      </c>
      <c r="C82" t="s">
        <v>310</v>
      </c>
      <c r="D82" s="2" t="s">
        <v>311</v>
      </c>
      <c r="E82" s="7" t="s">
        <v>46</v>
      </c>
      <c r="G82" s="2" t="s">
        <v>15</v>
      </c>
      <c r="H82" s="2" t="s">
        <v>100</v>
      </c>
      <c r="I82" s="17" t="s">
        <v>431</v>
      </c>
      <c r="J82" s="2" t="s">
        <v>147</v>
      </c>
      <c r="K82" t="s">
        <v>312</v>
      </c>
    </row>
    <row r="83" spans="1:11" ht="17">
      <c r="A83">
        <v>82</v>
      </c>
      <c r="B83" t="s">
        <v>230</v>
      </c>
      <c r="C83" t="s">
        <v>313</v>
      </c>
      <c r="D83" s="2" t="s">
        <v>314</v>
      </c>
      <c r="E83" s="8" t="s">
        <v>63</v>
      </c>
      <c r="F83" s="2" t="s">
        <v>40</v>
      </c>
      <c r="G83" s="2" t="s">
        <v>15</v>
      </c>
      <c r="I83" s="17" t="s">
        <v>431</v>
      </c>
      <c r="J83" s="2" t="s">
        <v>315</v>
      </c>
      <c r="K83" t="s">
        <v>316</v>
      </c>
    </row>
    <row r="84" spans="1:11" ht="17">
      <c r="A84">
        <v>83</v>
      </c>
      <c r="B84" t="s">
        <v>230</v>
      </c>
      <c r="C84" t="s">
        <v>317</v>
      </c>
      <c r="D84" s="2" t="s">
        <v>318</v>
      </c>
      <c r="E84" s="9" t="s">
        <v>80</v>
      </c>
      <c r="G84" s="2" t="s">
        <v>15</v>
      </c>
      <c r="I84" s="17" t="s">
        <v>431</v>
      </c>
      <c r="J84" s="2" t="s">
        <v>177</v>
      </c>
      <c r="K84" t="s">
        <v>319</v>
      </c>
    </row>
    <row r="85" spans="1:11" ht="17">
      <c r="A85">
        <v>84</v>
      </c>
      <c r="B85" t="s">
        <v>230</v>
      </c>
      <c r="C85" t="s">
        <v>320</v>
      </c>
      <c r="D85" s="2" t="s">
        <v>321</v>
      </c>
      <c r="E85" s="11" t="s">
        <v>68</v>
      </c>
      <c r="G85" s="2" t="s">
        <v>15</v>
      </c>
      <c r="I85" s="17"/>
      <c r="J85" s="2" t="s">
        <v>214</v>
      </c>
      <c r="K85" t="s">
        <v>322</v>
      </c>
    </row>
    <row r="86" spans="1:11" ht="78">
      <c r="A86">
        <v>85</v>
      </c>
      <c r="B86" t="s">
        <v>230</v>
      </c>
      <c r="C86" t="s">
        <v>323</v>
      </c>
      <c r="D86" t="s">
        <v>324</v>
      </c>
      <c r="E86" s="11" t="s">
        <v>68</v>
      </c>
      <c r="G86" s="2" t="s">
        <v>325</v>
      </c>
      <c r="I86" s="17" t="s">
        <v>431</v>
      </c>
      <c r="J86" s="2" t="s">
        <v>193</v>
      </c>
      <c r="K86" s="12" t="s">
        <v>326</v>
      </c>
    </row>
    <row r="87" spans="1:11" ht="17">
      <c r="A87">
        <v>86</v>
      </c>
      <c r="B87" t="s">
        <v>230</v>
      </c>
      <c r="C87" t="s">
        <v>327</v>
      </c>
      <c r="D87" s="2" t="s">
        <v>328</v>
      </c>
      <c r="E87" s="8" t="s">
        <v>63</v>
      </c>
      <c r="G87" s="2" t="s">
        <v>15</v>
      </c>
      <c r="I87" s="17"/>
      <c r="J87" s="2" t="s">
        <v>110</v>
      </c>
      <c r="K87" t="s">
        <v>329</v>
      </c>
    </row>
    <row r="88" spans="1:11" ht="17">
      <c r="A88">
        <v>87</v>
      </c>
      <c r="B88" t="s">
        <v>230</v>
      </c>
      <c r="C88" t="s">
        <v>330</v>
      </c>
      <c r="D88" s="2" t="s">
        <v>331</v>
      </c>
      <c r="E88" s="9" t="s">
        <v>80</v>
      </c>
      <c r="G88" s="2" t="s">
        <v>15</v>
      </c>
      <c r="H88" s="2" t="s">
        <v>100</v>
      </c>
      <c r="I88" s="17" t="s">
        <v>431</v>
      </c>
      <c r="J88" s="2" t="s">
        <v>332</v>
      </c>
      <c r="K88" t="s">
        <v>333</v>
      </c>
    </row>
    <row r="89" spans="1:11" ht="17">
      <c r="A89">
        <v>88</v>
      </c>
      <c r="B89" t="s">
        <v>230</v>
      </c>
      <c r="C89" t="s">
        <v>334</v>
      </c>
      <c r="D89" s="2" t="s">
        <v>335</v>
      </c>
      <c r="E89" s="3" t="s">
        <v>14</v>
      </c>
      <c r="G89" s="2" t="s">
        <v>41</v>
      </c>
      <c r="I89" s="17" t="s">
        <v>431</v>
      </c>
      <c r="J89" s="2" t="s">
        <v>16</v>
      </c>
      <c r="K89" t="s">
        <v>336</v>
      </c>
    </row>
    <row r="90" spans="1:11" ht="17">
      <c r="A90">
        <v>89</v>
      </c>
      <c r="B90" t="s">
        <v>230</v>
      </c>
      <c r="C90" t="s">
        <v>337</v>
      </c>
      <c r="D90" s="2" t="s">
        <v>338</v>
      </c>
      <c r="E90" s="10" t="s">
        <v>170</v>
      </c>
      <c r="G90" s="2" t="s">
        <v>15</v>
      </c>
      <c r="I90" s="17" t="s">
        <v>431</v>
      </c>
      <c r="J90" s="2" t="s">
        <v>110</v>
      </c>
      <c r="K90" t="s">
        <v>339</v>
      </c>
    </row>
    <row r="91" spans="1:11" ht="17">
      <c r="A91">
        <v>90</v>
      </c>
      <c r="B91" t="s">
        <v>230</v>
      </c>
      <c r="C91" t="s">
        <v>340</v>
      </c>
      <c r="D91" s="2" t="s">
        <v>341</v>
      </c>
      <c r="E91" s="5" t="s">
        <v>25</v>
      </c>
      <c r="G91" s="2" t="s">
        <v>15</v>
      </c>
      <c r="H91" s="2" t="s">
        <v>292</v>
      </c>
      <c r="I91" s="17" t="s">
        <v>431</v>
      </c>
      <c r="J91" s="2" t="s">
        <v>214</v>
      </c>
      <c r="K91" t="s">
        <v>342</v>
      </c>
    </row>
    <row r="92" spans="1:11" ht="17">
      <c r="A92">
        <v>91</v>
      </c>
      <c r="B92" t="s">
        <v>230</v>
      </c>
      <c r="C92" t="s">
        <v>343</v>
      </c>
      <c r="D92" s="2" t="s">
        <v>344</v>
      </c>
      <c r="E92" s="4" t="s">
        <v>20</v>
      </c>
      <c r="F92" s="2" t="s">
        <v>46</v>
      </c>
      <c r="G92" s="2" t="s">
        <v>15</v>
      </c>
      <c r="H92" s="2" t="s">
        <v>100</v>
      </c>
      <c r="I92" s="17" t="s">
        <v>431</v>
      </c>
      <c r="J92" s="2" t="s">
        <v>193</v>
      </c>
      <c r="K92" t="s">
        <v>345</v>
      </c>
    </row>
    <row r="93" spans="1:11" ht="17">
      <c r="A93">
        <v>92</v>
      </c>
      <c r="B93" t="s">
        <v>230</v>
      </c>
      <c r="C93" t="s">
        <v>346</v>
      </c>
      <c r="D93" s="2" t="s">
        <v>347</v>
      </c>
      <c r="E93" s="7" t="s">
        <v>46</v>
      </c>
      <c r="G93" s="2" t="s">
        <v>15</v>
      </c>
      <c r="H93" s="2" t="s">
        <v>100</v>
      </c>
      <c r="I93" s="17"/>
      <c r="J93" s="2" t="s">
        <v>315</v>
      </c>
      <c r="K93" t="s">
        <v>348</v>
      </c>
    </row>
    <row r="94" spans="1:11" ht="17">
      <c r="A94">
        <v>93</v>
      </c>
      <c r="B94" t="s">
        <v>230</v>
      </c>
      <c r="C94" t="s">
        <v>349</v>
      </c>
      <c r="D94" s="2" t="s">
        <v>350</v>
      </c>
      <c r="E94" s="3" t="s">
        <v>14</v>
      </c>
      <c r="F94" s="2" t="s">
        <v>80</v>
      </c>
      <c r="G94" s="2" t="s">
        <v>15</v>
      </c>
      <c r="H94" s="2" t="s">
        <v>122</v>
      </c>
      <c r="I94" s="17"/>
      <c r="J94" s="2" t="s">
        <v>33</v>
      </c>
      <c r="K94" t="s">
        <v>351</v>
      </c>
    </row>
    <row r="95" spans="1:11" ht="17">
      <c r="A95">
        <v>94</v>
      </c>
      <c r="B95" t="s">
        <v>230</v>
      </c>
      <c r="C95" t="s">
        <v>352</v>
      </c>
      <c r="D95" s="2" t="s">
        <v>353</v>
      </c>
      <c r="E95" s="11" t="s">
        <v>68</v>
      </c>
      <c r="F95" s="2" t="s">
        <v>80</v>
      </c>
      <c r="G95" s="2" t="s">
        <v>15</v>
      </c>
      <c r="I95" s="17" t="s">
        <v>431</v>
      </c>
      <c r="J95" s="2" t="s">
        <v>193</v>
      </c>
      <c r="K95" t="s">
        <v>354</v>
      </c>
    </row>
    <row r="96" spans="1:11" ht="17">
      <c r="A96">
        <v>95</v>
      </c>
      <c r="B96" t="s">
        <v>230</v>
      </c>
      <c r="C96" t="s">
        <v>355</v>
      </c>
      <c r="D96" s="2" t="s">
        <v>356</v>
      </c>
      <c r="E96" s="11" t="s">
        <v>68</v>
      </c>
      <c r="G96" s="2" t="s">
        <v>15</v>
      </c>
      <c r="I96" s="17"/>
      <c r="J96" s="2" t="s">
        <v>59</v>
      </c>
      <c r="K96" t="s">
        <v>357</v>
      </c>
    </row>
    <row r="97" spans="1:11" ht="17">
      <c r="A97">
        <v>96</v>
      </c>
      <c r="B97" t="s">
        <v>230</v>
      </c>
      <c r="C97" t="s">
        <v>358</v>
      </c>
      <c r="D97" t="s">
        <v>359</v>
      </c>
      <c r="E97" s="9" t="s">
        <v>80</v>
      </c>
      <c r="F97" s="2" t="s">
        <v>170</v>
      </c>
      <c r="G97" s="2" t="s">
        <v>15</v>
      </c>
      <c r="I97" s="17" t="s">
        <v>431</v>
      </c>
      <c r="J97" s="2" t="s">
        <v>69</v>
      </c>
      <c r="K97" t="s">
        <v>360</v>
      </c>
    </row>
    <row r="98" spans="1:11" ht="17">
      <c r="A98">
        <v>97</v>
      </c>
      <c r="B98" t="s">
        <v>230</v>
      </c>
      <c r="C98" t="s">
        <v>358</v>
      </c>
      <c r="D98" s="2" t="s">
        <v>361</v>
      </c>
      <c r="E98" s="8" t="s">
        <v>63</v>
      </c>
      <c r="G98" s="2" t="s">
        <v>15</v>
      </c>
      <c r="I98" s="17" t="s">
        <v>431</v>
      </c>
      <c r="J98" s="2" t="s">
        <v>362</v>
      </c>
      <c r="K98" t="s">
        <v>363</v>
      </c>
    </row>
    <row r="99" spans="1:11" ht="17">
      <c r="A99">
        <v>98</v>
      </c>
      <c r="B99" t="s">
        <v>230</v>
      </c>
      <c r="C99" t="s">
        <v>364</v>
      </c>
      <c r="D99" s="2" t="s">
        <v>365</v>
      </c>
      <c r="E99" s="8" t="s">
        <v>63</v>
      </c>
      <c r="G99" s="2" t="s">
        <v>366</v>
      </c>
      <c r="I99" s="17" t="s">
        <v>431</v>
      </c>
      <c r="J99" s="2" t="s">
        <v>362</v>
      </c>
      <c r="K99" t="s">
        <v>367</v>
      </c>
    </row>
    <row r="100" spans="1:11" ht="17">
      <c r="A100">
        <v>99</v>
      </c>
      <c r="B100" t="s">
        <v>230</v>
      </c>
      <c r="C100" t="s">
        <v>368</v>
      </c>
      <c r="D100" s="2" t="s">
        <v>369</v>
      </c>
      <c r="E100" s="8" t="s">
        <v>63</v>
      </c>
      <c r="G100" s="2" t="s">
        <v>15</v>
      </c>
      <c r="H100" s="2" t="s">
        <v>142</v>
      </c>
      <c r="I100" s="17"/>
      <c r="J100" s="2" t="s">
        <v>47</v>
      </c>
      <c r="K100" t="s">
        <v>370</v>
      </c>
    </row>
    <row r="101" spans="1:11" ht="17">
      <c r="A101">
        <v>100</v>
      </c>
      <c r="B101" t="s">
        <v>230</v>
      </c>
      <c r="C101" t="s">
        <v>371</v>
      </c>
      <c r="D101" t="s">
        <v>372</v>
      </c>
      <c r="E101" s="10" t="s">
        <v>170</v>
      </c>
      <c r="G101" s="2" t="s">
        <v>15</v>
      </c>
      <c r="I101" s="17" t="s">
        <v>431</v>
      </c>
      <c r="J101" s="2" t="s">
        <v>51</v>
      </c>
      <c r="K101" t="s">
        <v>373</v>
      </c>
    </row>
    <row r="102" spans="1:11" ht="17">
      <c r="A102">
        <v>101</v>
      </c>
      <c r="B102" t="s">
        <v>230</v>
      </c>
      <c r="C102" t="s">
        <v>374</v>
      </c>
      <c r="D102" s="2" t="s">
        <v>375</v>
      </c>
      <c r="E102" s="3" t="s">
        <v>14</v>
      </c>
      <c r="G102" s="2" t="s">
        <v>15</v>
      </c>
      <c r="I102" s="17" t="s">
        <v>431</v>
      </c>
      <c r="J102" s="2" t="s">
        <v>143</v>
      </c>
      <c r="K102" t="s">
        <v>376</v>
      </c>
    </row>
    <row r="103" spans="1:11" ht="17">
      <c r="A103">
        <v>102</v>
      </c>
      <c r="B103" t="s">
        <v>230</v>
      </c>
      <c r="C103" t="s">
        <v>374</v>
      </c>
      <c r="D103" t="s">
        <v>377</v>
      </c>
      <c r="E103" s="8" t="s">
        <v>63</v>
      </c>
      <c r="F103" s="2" t="s">
        <v>68</v>
      </c>
      <c r="G103" s="2" t="s">
        <v>15</v>
      </c>
      <c r="I103" s="17"/>
      <c r="J103" s="2" t="s">
        <v>69</v>
      </c>
      <c r="K103" t="s">
        <v>378</v>
      </c>
    </row>
    <row r="104" spans="1:11" ht="17">
      <c r="A104">
        <v>103</v>
      </c>
      <c r="B104" t="s">
        <v>230</v>
      </c>
      <c r="C104" t="s">
        <v>379</v>
      </c>
      <c r="D104" s="2" t="s">
        <v>380</v>
      </c>
      <c r="E104" s="4" t="s">
        <v>20</v>
      </c>
      <c r="G104" s="2" t="s">
        <v>15</v>
      </c>
      <c r="I104" s="17" t="s">
        <v>431</v>
      </c>
      <c r="J104" s="2" t="s">
        <v>381</v>
      </c>
      <c r="K104" t="s">
        <v>382</v>
      </c>
    </row>
    <row r="105" spans="1:11" ht="17">
      <c r="A105">
        <v>104</v>
      </c>
      <c r="B105" t="s">
        <v>230</v>
      </c>
      <c r="C105" t="s">
        <v>383</v>
      </c>
      <c r="D105" s="2" t="s">
        <v>384</v>
      </c>
      <c r="E105" s="3" t="s">
        <v>14</v>
      </c>
      <c r="G105" s="2" t="s">
        <v>15</v>
      </c>
      <c r="I105" s="17"/>
      <c r="J105" s="2" t="s">
        <v>101</v>
      </c>
      <c r="K105" t="s">
        <v>385</v>
      </c>
    </row>
    <row r="106" spans="1:11" ht="17">
      <c r="A106">
        <v>105</v>
      </c>
      <c r="B106" t="s">
        <v>230</v>
      </c>
      <c r="C106" t="s">
        <v>386</v>
      </c>
      <c r="D106" s="2" t="s">
        <v>387</v>
      </c>
      <c r="E106" s="4" t="s">
        <v>20</v>
      </c>
      <c r="G106" s="2" t="s">
        <v>15</v>
      </c>
      <c r="I106" s="17" t="s">
        <v>431</v>
      </c>
      <c r="J106" s="2" t="s">
        <v>388</v>
      </c>
      <c r="K106" t="s">
        <v>389</v>
      </c>
    </row>
    <row r="107" spans="1:11" ht="17">
      <c r="A107">
        <v>106</v>
      </c>
      <c r="B107" t="s">
        <v>230</v>
      </c>
      <c r="C107" t="s">
        <v>390</v>
      </c>
      <c r="D107" s="2" t="s">
        <v>391</v>
      </c>
      <c r="E107" s="11" t="s">
        <v>68</v>
      </c>
      <c r="G107" s="2" t="s">
        <v>15</v>
      </c>
      <c r="I107" s="17" t="s">
        <v>431</v>
      </c>
      <c r="J107" s="2" t="s">
        <v>81</v>
      </c>
      <c r="K107" t="s">
        <v>392</v>
      </c>
    </row>
    <row r="108" spans="1:11" ht="17">
      <c r="A108">
        <v>107</v>
      </c>
      <c r="B108" t="s">
        <v>230</v>
      </c>
      <c r="C108" t="s">
        <v>393</v>
      </c>
      <c r="D108" t="s">
        <v>394</v>
      </c>
      <c r="E108" s="7" t="s">
        <v>46</v>
      </c>
      <c r="F108" s="2" t="s">
        <v>170</v>
      </c>
      <c r="G108" s="2" t="s">
        <v>15</v>
      </c>
      <c r="I108" s="17" t="s">
        <v>431</v>
      </c>
      <c r="J108" s="2" t="s">
        <v>395</v>
      </c>
      <c r="K108" t="s">
        <v>396</v>
      </c>
    </row>
    <row r="109" spans="1:11" ht="17">
      <c r="A109">
        <v>108</v>
      </c>
      <c r="B109" t="s">
        <v>230</v>
      </c>
      <c r="C109" t="s">
        <v>397</v>
      </c>
      <c r="D109" s="2" t="s">
        <v>398</v>
      </c>
      <c r="E109" s="5" t="s">
        <v>25</v>
      </c>
      <c r="G109" s="2" t="s">
        <v>15</v>
      </c>
      <c r="I109" s="17"/>
      <c r="J109" s="2" t="s">
        <v>51</v>
      </c>
      <c r="K109" t="s">
        <v>399</v>
      </c>
    </row>
    <row r="110" spans="1:11" ht="17">
      <c r="A110">
        <v>109</v>
      </c>
      <c r="B110" t="s">
        <v>230</v>
      </c>
      <c r="C110" t="s">
        <v>400</v>
      </c>
      <c r="D110" s="2" t="s">
        <v>401</v>
      </c>
      <c r="E110" s="8" t="s">
        <v>63</v>
      </c>
      <c r="G110" s="2" t="s">
        <v>15</v>
      </c>
      <c r="I110" s="17" t="s">
        <v>431</v>
      </c>
      <c r="J110" s="2" t="s">
        <v>126</v>
      </c>
      <c r="K110" t="s">
        <v>402</v>
      </c>
    </row>
    <row r="111" spans="1:11" ht="17">
      <c r="A111">
        <v>110</v>
      </c>
      <c r="B111" t="s">
        <v>230</v>
      </c>
      <c r="C111" t="s">
        <v>403</v>
      </c>
      <c r="D111" s="2" t="s">
        <v>404</v>
      </c>
      <c r="E111" s="11" t="s">
        <v>68</v>
      </c>
      <c r="G111" s="2" t="s">
        <v>15</v>
      </c>
      <c r="I111" s="17"/>
      <c r="J111" s="2" t="s">
        <v>64</v>
      </c>
      <c r="K111" t="s">
        <v>405</v>
      </c>
    </row>
    <row r="112" spans="1:11" ht="17">
      <c r="A112">
        <v>111</v>
      </c>
      <c r="B112" t="s">
        <v>230</v>
      </c>
      <c r="C112" t="s">
        <v>406</v>
      </c>
      <c r="D112" s="2" t="s">
        <v>407</v>
      </c>
      <c r="E112" s="8" t="s">
        <v>63</v>
      </c>
      <c r="G112" s="2" t="s">
        <v>15</v>
      </c>
      <c r="I112" s="17" t="s">
        <v>431</v>
      </c>
      <c r="J112" s="2" t="s">
        <v>85</v>
      </c>
      <c r="K112" t="s">
        <v>408</v>
      </c>
    </row>
    <row r="113" spans="1:11" ht="17">
      <c r="A113">
        <v>112</v>
      </c>
      <c r="B113" t="s">
        <v>230</v>
      </c>
      <c r="C113" t="s">
        <v>409</v>
      </c>
      <c r="D113" s="2" t="s">
        <v>410</v>
      </c>
      <c r="E113" s="9" t="s">
        <v>80</v>
      </c>
      <c r="G113" s="2" t="s">
        <v>15</v>
      </c>
      <c r="H113" s="2" t="s">
        <v>100</v>
      </c>
      <c r="I113" s="17"/>
      <c r="J113" s="2" t="s">
        <v>214</v>
      </c>
      <c r="K113" t="s">
        <v>411</v>
      </c>
    </row>
    <row r="114" spans="1:11" ht="17">
      <c r="A114">
        <v>113</v>
      </c>
      <c r="B114" t="s">
        <v>230</v>
      </c>
      <c r="C114" t="s">
        <v>412</v>
      </c>
      <c r="D114" s="2" t="s">
        <v>413</v>
      </c>
      <c r="E114" s="5" t="s">
        <v>25</v>
      </c>
      <c r="G114" s="2" t="s">
        <v>15</v>
      </c>
      <c r="I114" s="17" t="s">
        <v>431</v>
      </c>
      <c r="J114" s="2" t="s">
        <v>143</v>
      </c>
      <c r="K114" t="s">
        <v>414</v>
      </c>
    </row>
  </sheetData>
  <autoFilter ref="A1:K114" xr:uid="{00000000-0009-0000-0000-000000000000}"/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Normal="100" workbookViewId="0"/>
  </sheetViews>
  <sheetFormatPr baseColWidth="10" defaultColWidth="8.6640625" defaultRowHeight="15" customHeight="1"/>
  <cols>
    <col min="1" max="1" width="15" customWidth="1"/>
    <col min="2" max="7" width="12" customWidth="1"/>
  </cols>
  <sheetData>
    <row r="1" spans="1:7" ht="15" customHeight="1">
      <c r="A1" s="1" t="s">
        <v>4</v>
      </c>
      <c r="B1" s="14" t="s">
        <v>11</v>
      </c>
      <c r="C1" s="14" t="s">
        <v>87</v>
      </c>
      <c r="D1" s="14" t="s">
        <v>230</v>
      </c>
      <c r="E1" s="1" t="s">
        <v>415</v>
      </c>
      <c r="F1" s="1" t="s">
        <v>416</v>
      </c>
      <c r="G1" s="1" t="s">
        <v>417</v>
      </c>
    </row>
    <row r="2" spans="1:7" ht="15" customHeight="1">
      <c r="A2" s="3" t="s">
        <v>14</v>
      </c>
      <c r="B2">
        <f>COUNTIFS(新聞稿資料庫!$E:$E,A2,新聞稿資料庫!$B:$B,"2023")</f>
        <v>1</v>
      </c>
      <c r="C2">
        <f>COUNTIFS(新聞稿資料庫!$E:$E,A2,新聞稿資料庫!$B:$B,"2024")</f>
        <v>6</v>
      </c>
      <c r="D2">
        <f>COUNTIFS(新聞稿資料庫!$E:$E,A2,新聞稿資料庫!$B:$B,"2025")</f>
        <v>7</v>
      </c>
      <c r="E2">
        <f t="shared" ref="E2:E11" si="0">SUM(B2:D2)</f>
        <v>14</v>
      </c>
      <c r="F2" s="15"/>
      <c r="G2" s="15"/>
    </row>
    <row r="3" spans="1:7" ht="15" customHeight="1">
      <c r="A3" s="5" t="s">
        <v>25</v>
      </c>
      <c r="B3">
        <f>COUNTIFS(新聞稿資料庫!$E:$E,A3,新聞稿資料庫!$B:$B,"2023")</f>
        <v>4</v>
      </c>
      <c r="C3">
        <f>COUNTIFS(新聞稿資料庫!$E:$E,A3,新聞稿資料庫!$B:$B,"2024")</f>
        <v>3</v>
      </c>
      <c r="D3">
        <f>COUNTIFS(新聞稿資料庫!$E:$E,A3,新聞稿資料庫!$B:$B,"2025")</f>
        <v>5</v>
      </c>
      <c r="E3">
        <f t="shared" si="0"/>
        <v>12</v>
      </c>
      <c r="F3" s="15"/>
      <c r="G3" s="15"/>
    </row>
    <row r="4" spans="1:7" ht="15" customHeight="1">
      <c r="A4" s="6" t="s">
        <v>40</v>
      </c>
      <c r="B4">
        <f>COUNTIFS(新聞稿資料庫!$E:$E,A4,新聞稿資料庫!$B:$B,"2023")</f>
        <v>2</v>
      </c>
      <c r="C4">
        <f>COUNTIFS(新聞稿資料庫!$E:$E,A4,新聞稿資料庫!$B:$B,"2024")</f>
        <v>0</v>
      </c>
      <c r="D4">
        <f>COUNTIFS(新聞稿資料庫!$E:$E,A4,新聞稿資料庫!$B:$B,"2025")</f>
        <v>0</v>
      </c>
      <c r="E4">
        <f t="shared" si="0"/>
        <v>2</v>
      </c>
      <c r="F4" s="15"/>
      <c r="G4" s="15"/>
    </row>
    <row r="5" spans="1:7" ht="15" customHeight="1">
      <c r="A5" s="11" t="s">
        <v>68</v>
      </c>
      <c r="B5">
        <f>COUNTIFS(新聞稿資料庫!$E:$E,A5,新聞稿資料庫!$B:$B,"2023")</f>
        <v>0</v>
      </c>
      <c r="C5">
        <f>COUNTIFS(新聞稿資料庫!$E:$E,A5,新聞稿資料庫!$B:$B,"2024")</f>
        <v>1</v>
      </c>
      <c r="D5">
        <f>COUNTIFS(新聞稿資料庫!$E:$E,A5,新聞稿資料庫!$B:$B,"2025")</f>
        <v>9</v>
      </c>
      <c r="E5">
        <f t="shared" si="0"/>
        <v>10</v>
      </c>
      <c r="F5" s="15"/>
      <c r="G5" s="15"/>
    </row>
    <row r="6" spans="1:7" ht="15" customHeight="1">
      <c r="A6" s="9" t="s">
        <v>80</v>
      </c>
      <c r="B6">
        <f>COUNTIFS(新聞稿資料庫!$E:$E,A6,新聞稿資料庫!$B:$B,"2023")</f>
        <v>1</v>
      </c>
      <c r="C6">
        <f>COUNTIFS(新聞稿資料庫!$E:$E,A6,新聞稿資料庫!$B:$B,"2024")</f>
        <v>6</v>
      </c>
      <c r="D6">
        <f>COUNTIFS(新聞稿資料庫!$E:$E,A6,新聞稿資料庫!$B:$B,"2025")</f>
        <v>6</v>
      </c>
      <c r="E6">
        <f t="shared" si="0"/>
        <v>13</v>
      </c>
      <c r="F6" s="15"/>
      <c r="G6" s="15"/>
    </row>
    <row r="7" spans="1:7" ht="15" customHeight="1">
      <c r="A7" s="13" t="s">
        <v>285</v>
      </c>
      <c r="B7">
        <f>COUNTIFS(新聞稿資料庫!$E:$E,A7,新聞稿資料庫!$B:$B,"2023")</f>
        <v>0</v>
      </c>
      <c r="C7">
        <f>COUNTIFS(新聞稿資料庫!$E:$E,A7,新聞稿資料庫!$B:$B,"2024")</f>
        <v>0</v>
      </c>
      <c r="D7">
        <f>COUNTIFS(新聞稿資料庫!$E:$E,A7,新聞稿資料庫!$B:$B,"2025")</f>
        <v>1</v>
      </c>
      <c r="E7">
        <f t="shared" si="0"/>
        <v>1</v>
      </c>
      <c r="F7" s="15"/>
      <c r="G7" s="15"/>
    </row>
    <row r="8" spans="1:7" ht="15" customHeight="1">
      <c r="A8" s="4" t="s">
        <v>20</v>
      </c>
      <c r="B8">
        <f>COUNTIFS(新聞稿資料庫!$E:$E,A8,新聞稿資料庫!$B:$B,"2023")</f>
        <v>7</v>
      </c>
      <c r="C8">
        <f>COUNTIFS(新聞稿資料庫!$E:$E,A8,新聞稿資料庫!$B:$B,"2024")</f>
        <v>10</v>
      </c>
      <c r="D8">
        <f>COUNTIFS(新聞稿資料庫!$E:$E,A8,新聞稿資料庫!$B:$B,"2025")</f>
        <v>4</v>
      </c>
      <c r="E8">
        <f t="shared" si="0"/>
        <v>21</v>
      </c>
      <c r="F8" s="15"/>
      <c r="G8" s="15"/>
    </row>
    <row r="9" spans="1:7" ht="15" customHeight="1">
      <c r="A9" s="8" t="s">
        <v>63</v>
      </c>
      <c r="B9">
        <f>COUNTIFS(新聞稿資料庫!$E:$E,A9,新聞稿資料庫!$B:$B,"2023")</f>
        <v>1</v>
      </c>
      <c r="C9">
        <f>COUNTIFS(新聞稿資料庫!$E:$E,A9,新聞稿資料庫!$B:$B,"2024")</f>
        <v>8</v>
      </c>
      <c r="D9">
        <f>COUNTIFS(新聞稿資料庫!$E:$E,A9,新聞稿資料庫!$B:$B,"2025")</f>
        <v>15</v>
      </c>
      <c r="E9">
        <f t="shared" si="0"/>
        <v>24</v>
      </c>
      <c r="F9" s="15"/>
      <c r="G9" s="15"/>
    </row>
    <row r="10" spans="1:7" ht="15" customHeight="1">
      <c r="A10" s="7" t="s">
        <v>46</v>
      </c>
      <c r="B10">
        <f>COUNTIFS(新聞稿資料庫!$E:$E,A10,新聞稿資料庫!$B:$B,"2023")</f>
        <v>1</v>
      </c>
      <c r="C10">
        <f>COUNTIFS(新聞稿資料庫!$E:$E,A10,新聞稿資料庫!$B:$B,"2024")</f>
        <v>2</v>
      </c>
      <c r="D10">
        <f>COUNTIFS(新聞稿資料庫!$E:$E,A10,新聞稿資料庫!$B:$B,"2025")</f>
        <v>8</v>
      </c>
      <c r="E10">
        <f t="shared" si="0"/>
        <v>11</v>
      </c>
      <c r="F10" s="15"/>
      <c r="G10" s="15"/>
    </row>
    <row r="11" spans="1:7" ht="15" customHeight="1">
      <c r="A11" s="10" t="s">
        <v>170</v>
      </c>
      <c r="B11">
        <f>COUNTIFS(新聞稿資料庫!$E:$E,A11,新聞稿資料庫!$B:$B,"2023")</f>
        <v>0</v>
      </c>
      <c r="C11">
        <f>COUNTIFS(新聞稿資料庫!$E:$E,A11,新聞稿資料庫!$B:$B,"2024")</f>
        <v>3</v>
      </c>
      <c r="D11">
        <f>COUNTIFS(新聞稿資料庫!$E:$E,A11,新聞稿資料庫!$B:$B,"2025")</f>
        <v>2</v>
      </c>
      <c r="E11">
        <f t="shared" si="0"/>
        <v>5</v>
      </c>
      <c r="F11" s="15"/>
      <c r="G11" s="15"/>
    </row>
    <row r="12" spans="1:7" ht="15" customHeight="1">
      <c r="A12" s="16" t="s">
        <v>415</v>
      </c>
      <c r="B12" s="16">
        <f>SUM(B2:B11)</f>
        <v>17</v>
      </c>
      <c r="C12" s="16">
        <f>SUM(C2:C11)</f>
        <v>39</v>
      </c>
      <c r="D12" s="16">
        <f>SUM(D2:D11)</f>
        <v>57</v>
      </c>
      <c r="E12" s="16">
        <f>SUM(E2:E11)</f>
        <v>113</v>
      </c>
      <c r="F12" s="16"/>
      <c r="G12" s="16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Normal="100" workbookViewId="0"/>
  </sheetViews>
  <sheetFormatPr baseColWidth="10" defaultColWidth="8.6640625" defaultRowHeight="15" customHeight="1"/>
  <cols>
    <col min="1" max="5" width="12" customWidth="1"/>
  </cols>
  <sheetData>
    <row r="1" spans="1:5" ht="15" customHeight="1">
      <c r="A1" s="1" t="s">
        <v>418</v>
      </c>
      <c r="B1" s="14" t="s">
        <v>11</v>
      </c>
      <c r="C1" s="14" t="s">
        <v>87</v>
      </c>
      <c r="D1" s="14" t="s">
        <v>230</v>
      </c>
      <c r="E1" s="1" t="s">
        <v>415</v>
      </c>
    </row>
    <row r="2" spans="1:5" ht="15" customHeight="1">
      <c r="A2" t="s">
        <v>419</v>
      </c>
      <c r="B2">
        <f>COUNTIFS(新聞稿資料庫!$B:$B,"2023",新聞稿資料庫!$C:$C,"&gt;="&amp;DATE(2023,1,1),新聞稿資料庫!$C:$C,"&lt;"&amp;DATE(2023,1+1,1))</f>
        <v>0</v>
      </c>
      <c r="C2">
        <f>COUNTIFS(新聞稿資料庫!$B:$B,"2024",新聞稿資料庫!$C:$C,"&gt;="&amp;DATE(2024,1,1),新聞稿資料庫!$C:$C,"&lt;"&amp;DATE(2024,1+1,1))</f>
        <v>0</v>
      </c>
      <c r="D2">
        <f>COUNTIFS(新聞稿資料庫!$B:$B,"2025",新聞稿資料庫!$C:$C,"&gt;="&amp;DATE(2025,1,1),新聞稿資料庫!$C:$C,"&lt;"&amp;DATE(2025,1+1,1))</f>
        <v>0</v>
      </c>
      <c r="E2">
        <f t="shared" ref="E2:E13" si="0">SUM(B2:D2)</f>
        <v>0</v>
      </c>
    </row>
    <row r="3" spans="1:5" ht="15" customHeight="1">
      <c r="A3" t="s">
        <v>420</v>
      </c>
      <c r="B3">
        <f>COUNTIFS(新聞稿資料庫!$B:$B,"2023",新聞稿資料庫!$C:$C,"&gt;="&amp;DATE(2023,2,1),新聞稿資料庫!$C:$C,"&lt;"&amp;DATE(2023,2+1,1))</f>
        <v>0</v>
      </c>
      <c r="C3">
        <f>COUNTIFS(新聞稿資料庫!$B:$B,"2024",新聞稿資料庫!$C:$C,"&gt;="&amp;DATE(2024,2,1),新聞稿資料庫!$C:$C,"&lt;"&amp;DATE(2024,2+1,1))</f>
        <v>0</v>
      </c>
      <c r="D3">
        <f>COUNTIFS(新聞稿資料庫!$B:$B,"2025",新聞稿資料庫!$C:$C,"&gt;="&amp;DATE(2025,2,1),新聞稿資料庫!$C:$C,"&lt;"&amp;DATE(2025,2+1,1))</f>
        <v>0</v>
      </c>
      <c r="E3">
        <f t="shared" si="0"/>
        <v>0</v>
      </c>
    </row>
    <row r="4" spans="1:5" ht="15" customHeight="1">
      <c r="A4" t="s">
        <v>421</v>
      </c>
      <c r="B4">
        <f>COUNTIFS(新聞稿資料庫!$B:$B,"2023",新聞稿資料庫!$C:$C,"&gt;="&amp;DATE(2023,3,1),新聞稿資料庫!$C:$C,"&lt;"&amp;DATE(2023,3+1,1))</f>
        <v>0</v>
      </c>
      <c r="C4">
        <f>COUNTIFS(新聞稿資料庫!$B:$B,"2024",新聞稿資料庫!$C:$C,"&gt;="&amp;DATE(2024,3,1),新聞稿資料庫!$C:$C,"&lt;"&amp;DATE(2024,3+1,1))</f>
        <v>0</v>
      </c>
      <c r="D4">
        <f>COUNTIFS(新聞稿資料庫!$B:$B,"2025",新聞稿資料庫!$C:$C,"&gt;="&amp;DATE(2025,3,1),新聞稿資料庫!$C:$C,"&lt;"&amp;DATE(2025,3+1,1))</f>
        <v>0</v>
      </c>
      <c r="E4">
        <f t="shared" si="0"/>
        <v>0</v>
      </c>
    </row>
    <row r="5" spans="1:5" ht="15" customHeight="1">
      <c r="A5" t="s">
        <v>422</v>
      </c>
      <c r="B5">
        <f>COUNTIFS(新聞稿資料庫!$B:$B,"2023",新聞稿資料庫!$C:$C,"&gt;="&amp;DATE(2023,4,1),新聞稿資料庫!$C:$C,"&lt;"&amp;DATE(2023,4+1,1))</f>
        <v>0</v>
      </c>
      <c r="C5">
        <f>COUNTIFS(新聞稿資料庫!$B:$B,"2024",新聞稿資料庫!$C:$C,"&gt;="&amp;DATE(2024,4,1),新聞稿資料庫!$C:$C,"&lt;"&amp;DATE(2024,4+1,1))</f>
        <v>0</v>
      </c>
      <c r="D5">
        <f>COUNTIFS(新聞稿資料庫!$B:$B,"2025",新聞稿資料庫!$C:$C,"&gt;="&amp;DATE(2025,4,1),新聞稿資料庫!$C:$C,"&lt;"&amp;DATE(2025,4+1,1))</f>
        <v>0</v>
      </c>
      <c r="E5">
        <f t="shared" si="0"/>
        <v>0</v>
      </c>
    </row>
    <row r="6" spans="1:5" ht="15" customHeight="1">
      <c r="A6" t="s">
        <v>423</v>
      </c>
      <c r="B6">
        <f>COUNTIFS(新聞稿資料庫!$B:$B,"2023",新聞稿資料庫!$C:$C,"&gt;="&amp;DATE(2023,5,1),新聞稿資料庫!$C:$C,"&lt;"&amp;DATE(2023,5+1,1))</f>
        <v>0</v>
      </c>
      <c r="C6">
        <f>COUNTIFS(新聞稿資料庫!$B:$B,"2024",新聞稿資料庫!$C:$C,"&gt;="&amp;DATE(2024,5,1),新聞稿資料庫!$C:$C,"&lt;"&amp;DATE(2024,5+1,1))</f>
        <v>0</v>
      </c>
      <c r="D6">
        <f>COUNTIFS(新聞稿資料庫!$B:$B,"2025",新聞稿資料庫!$C:$C,"&gt;="&amp;DATE(2025,5,1),新聞稿資料庫!$C:$C,"&lt;"&amp;DATE(2025,5+1,1))</f>
        <v>0</v>
      </c>
      <c r="E6">
        <f t="shared" si="0"/>
        <v>0</v>
      </c>
    </row>
    <row r="7" spans="1:5" ht="15" customHeight="1">
      <c r="A7" t="s">
        <v>424</v>
      </c>
      <c r="B7">
        <f>COUNTIFS(新聞稿資料庫!$B:$B,"2023",新聞稿資料庫!$C:$C,"&gt;="&amp;DATE(2023,6,1),新聞稿資料庫!$C:$C,"&lt;"&amp;DATE(2023,6+1,1))</f>
        <v>0</v>
      </c>
      <c r="C7">
        <f>COUNTIFS(新聞稿資料庫!$B:$B,"2024",新聞稿資料庫!$C:$C,"&gt;="&amp;DATE(2024,6,1),新聞稿資料庫!$C:$C,"&lt;"&amp;DATE(2024,6+1,1))</f>
        <v>0</v>
      </c>
      <c r="D7">
        <f>COUNTIFS(新聞稿資料庫!$B:$B,"2025",新聞稿資料庫!$C:$C,"&gt;="&amp;DATE(2025,6,1),新聞稿資料庫!$C:$C,"&lt;"&amp;DATE(2025,6+1,1))</f>
        <v>0</v>
      </c>
      <c r="E7">
        <f t="shared" si="0"/>
        <v>0</v>
      </c>
    </row>
    <row r="8" spans="1:5" ht="15" customHeight="1">
      <c r="A8" t="s">
        <v>425</v>
      </c>
      <c r="B8">
        <f>COUNTIFS(新聞稿資料庫!$B:$B,"2023",新聞稿資料庫!$C:$C,"&gt;="&amp;DATE(2023,7,1),新聞稿資料庫!$C:$C,"&lt;"&amp;DATE(2023,7+1,1))</f>
        <v>0</v>
      </c>
      <c r="C8">
        <f>COUNTIFS(新聞稿資料庫!$B:$B,"2024",新聞稿資料庫!$C:$C,"&gt;="&amp;DATE(2024,7,1),新聞稿資料庫!$C:$C,"&lt;"&amp;DATE(2024,7+1,1))</f>
        <v>0</v>
      </c>
      <c r="D8">
        <f>COUNTIFS(新聞稿資料庫!$B:$B,"2025",新聞稿資料庫!$C:$C,"&gt;="&amp;DATE(2025,7,1),新聞稿資料庫!$C:$C,"&lt;"&amp;DATE(2025,7+1,1))</f>
        <v>0</v>
      </c>
      <c r="E8">
        <f t="shared" si="0"/>
        <v>0</v>
      </c>
    </row>
    <row r="9" spans="1:5" ht="15" customHeight="1">
      <c r="A9" t="s">
        <v>426</v>
      </c>
      <c r="B9">
        <f>COUNTIFS(新聞稿資料庫!$B:$B,"2023",新聞稿資料庫!$C:$C,"&gt;="&amp;DATE(2023,8,1),新聞稿資料庫!$C:$C,"&lt;"&amp;DATE(2023,8+1,1))</f>
        <v>0</v>
      </c>
      <c r="C9">
        <f>COUNTIFS(新聞稿資料庫!$B:$B,"2024",新聞稿資料庫!$C:$C,"&gt;="&amp;DATE(2024,8,1),新聞稿資料庫!$C:$C,"&lt;"&amp;DATE(2024,8+1,1))</f>
        <v>0</v>
      </c>
      <c r="D9">
        <f>COUNTIFS(新聞稿資料庫!$B:$B,"2025",新聞稿資料庫!$C:$C,"&gt;="&amp;DATE(2025,8,1),新聞稿資料庫!$C:$C,"&lt;"&amp;DATE(2025,8+1,1))</f>
        <v>0</v>
      </c>
      <c r="E9">
        <f t="shared" si="0"/>
        <v>0</v>
      </c>
    </row>
    <row r="10" spans="1:5" ht="15" customHeight="1">
      <c r="A10" t="s">
        <v>427</v>
      </c>
      <c r="B10">
        <f>COUNTIFS(新聞稿資料庫!$B:$B,"2023",新聞稿資料庫!$C:$C,"&gt;="&amp;DATE(2023,9,1),新聞稿資料庫!$C:$C,"&lt;"&amp;DATE(2023,9+1,1))</f>
        <v>0</v>
      </c>
      <c r="C10">
        <f>COUNTIFS(新聞稿資料庫!$B:$B,"2024",新聞稿資料庫!$C:$C,"&gt;="&amp;DATE(2024,9,1),新聞稿資料庫!$C:$C,"&lt;"&amp;DATE(2024,9+1,1))</f>
        <v>0</v>
      </c>
      <c r="D10">
        <f>COUNTIFS(新聞稿資料庫!$B:$B,"2025",新聞稿資料庫!$C:$C,"&gt;="&amp;DATE(2025,9,1),新聞稿資料庫!$C:$C,"&lt;"&amp;DATE(2025,9+1,1))</f>
        <v>0</v>
      </c>
      <c r="E10">
        <f t="shared" si="0"/>
        <v>0</v>
      </c>
    </row>
    <row r="11" spans="1:5" ht="15" customHeight="1">
      <c r="A11" t="s">
        <v>428</v>
      </c>
      <c r="B11">
        <f>COUNTIFS(新聞稿資料庫!$B:$B,"2023",新聞稿資料庫!$C:$C,"&gt;="&amp;DATE(2023,10,1),新聞稿資料庫!$C:$C,"&lt;"&amp;DATE(2023,10+1,1))</f>
        <v>0</v>
      </c>
      <c r="C11">
        <f>COUNTIFS(新聞稿資料庫!$B:$B,"2024",新聞稿資料庫!$C:$C,"&gt;="&amp;DATE(2024,10,1),新聞稿資料庫!$C:$C,"&lt;"&amp;DATE(2024,10+1,1))</f>
        <v>0</v>
      </c>
      <c r="D11">
        <f>COUNTIFS(新聞稿資料庫!$B:$B,"2025",新聞稿資料庫!$C:$C,"&gt;="&amp;DATE(2025,10,1),新聞稿資料庫!$C:$C,"&lt;"&amp;DATE(2025,10+1,1))</f>
        <v>0</v>
      </c>
      <c r="E11">
        <f t="shared" si="0"/>
        <v>0</v>
      </c>
    </row>
    <row r="12" spans="1:5" ht="15" customHeight="1">
      <c r="A12" t="s">
        <v>429</v>
      </c>
      <c r="B12">
        <f>COUNTIFS(新聞稿資料庫!$B:$B,"2023",新聞稿資料庫!$C:$C,"&gt;="&amp;DATE(2023,11,1),新聞稿資料庫!$C:$C,"&lt;"&amp;DATE(2023,11+1,1))</f>
        <v>0</v>
      </c>
      <c r="C12">
        <f>COUNTIFS(新聞稿資料庫!$B:$B,"2024",新聞稿資料庫!$C:$C,"&gt;="&amp;DATE(2024,11,1),新聞稿資料庫!$C:$C,"&lt;"&amp;DATE(2024,11+1,1))</f>
        <v>0</v>
      </c>
      <c r="D12">
        <f>COUNTIFS(新聞稿資料庫!$B:$B,"2025",新聞稿資料庫!$C:$C,"&gt;="&amp;DATE(2025,11,1),新聞稿資料庫!$C:$C,"&lt;"&amp;DATE(2025,11+1,1))</f>
        <v>0</v>
      </c>
      <c r="E12">
        <f t="shared" si="0"/>
        <v>0</v>
      </c>
    </row>
    <row r="13" spans="1:5" ht="15" customHeight="1">
      <c r="A13" t="s">
        <v>430</v>
      </c>
      <c r="B13">
        <f>COUNTIFS(新聞稿資料庫!$B:$B,"2023",新聞稿資料庫!$C:$C,"&gt;="&amp;DATE(2023,12,1),新聞稿資料庫!$C:$C,"&lt;"&amp;DATE(2023,12+1,1))</f>
        <v>0</v>
      </c>
      <c r="C13">
        <f>COUNTIFS(新聞稿資料庫!$B:$B,"2024",新聞稿資料庫!$C:$C,"&gt;="&amp;DATE(2024,12,1),新聞稿資料庫!$C:$C,"&lt;"&amp;DATE(2024,12+1,1))</f>
        <v>0</v>
      </c>
      <c r="D13">
        <f>COUNTIFS(新聞稿資料庫!$B:$B,"2025",新聞稿資料庫!$C:$C,"&gt;="&amp;DATE(2025,12,1),新聞稿資料庫!$C:$C,"&lt;"&amp;DATE(2025,12+1,1))</f>
        <v>0</v>
      </c>
      <c r="E13">
        <f t="shared" si="0"/>
        <v>0</v>
      </c>
    </row>
    <row r="14" spans="1:5" ht="15" customHeight="1">
      <c r="A14" s="16" t="s">
        <v>415</v>
      </c>
      <c r="B14" s="16">
        <f>SUM(B2:B13)</f>
        <v>0</v>
      </c>
      <c r="C14" s="16">
        <f>SUM(C2:C13)</f>
        <v>0</v>
      </c>
      <c r="D14" s="16">
        <f>SUM(D2:D13)</f>
        <v>0</v>
      </c>
      <c r="E14" s="16">
        <f>SUM(E2:E13)</f>
        <v>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新聞稿資料庫</vt:lpstr>
      <vt:lpstr>議題追蹤總覽</vt:lpstr>
      <vt:lpstr>年度月度統計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office365</cp:lastModifiedBy>
  <cp:revision>0</cp:revision>
  <dcterms:created xsi:type="dcterms:W3CDTF">2026-03-06T15:01:39Z</dcterms:created>
  <dcterms:modified xsi:type="dcterms:W3CDTF">2026-03-06T15:13:26Z</dcterms:modified>
  <dc:language>en-US</dc:language>
</cp:coreProperties>
</file>