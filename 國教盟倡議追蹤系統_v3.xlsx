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聞稿資料庫" sheetId="1" state="visible" r:id="rId3"/>
    <sheet name="議題追蹤總覽" sheetId="2" state="visible" r:id="rId4"/>
    <sheet name="年度月度統計" sheetId="3" state="visible" r:id="rId5"/>
  </sheets>
  <definedNames>
    <definedName function="false" hidden="true" localSheetId="0" name="_xlnm._FilterDatabase" vbProcedure="false">新聞稿資料庫!$A$4:$J$120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<sst xmlns="http://schemas.openxmlformats.org/spreadsheetml/2006/main" count="843" uniqueCount="394">
  <si>
    <r>
      <rPr>
        <b val="true"/>
        <sz val="14"/>
        <color rgb="FF1F4E79"/>
        <rFont val="DejaVu Sans"/>
        <family val="2"/>
      </rPr>
      <t xml:space="preserve">國教行動聯盟 </t>
    </r>
    <r>
      <rPr>
        <b val="true"/>
        <sz val="14"/>
        <color rgb="FF1F4E79"/>
        <rFont val="Arial"/>
        <family val="0"/>
        <charset val="1"/>
      </rPr>
      <t xml:space="preserve">2023-2025 </t>
    </r>
    <r>
      <rPr>
        <b val="true"/>
        <sz val="14"/>
        <color rgb="FF1F4E79"/>
        <rFont val="DejaVu Sans"/>
        <family val="2"/>
      </rPr>
      <t xml:space="preserve">新聞稿資料庫</t>
    </r>
  </si>
  <si>
    <r>
      <rPr>
        <sz val="9"/>
        <color rgb="FF808080"/>
        <rFont val="DejaVu Sans"/>
        <family val="2"/>
      </rPr>
      <t xml:space="preserve">資料來源：原始新聞稿 ｜ 去重後共 </t>
    </r>
    <r>
      <rPr>
        <sz val="9"/>
        <color rgb="FF808080"/>
        <rFont val="Arial"/>
        <family val="0"/>
        <charset val="1"/>
      </rPr>
      <t xml:space="preserve">116 </t>
    </r>
    <r>
      <rPr>
        <sz val="9"/>
        <color rgb="FF808080"/>
        <rFont val="DejaVu Sans"/>
        <family val="2"/>
      </rPr>
      <t xml:space="preserve">篇 ｜ 建表日期：</t>
    </r>
    <r>
      <rPr>
        <sz val="9"/>
        <color rgb="FF808080"/>
        <rFont val="Arial"/>
        <family val="0"/>
        <charset val="1"/>
      </rPr>
      <t xml:space="preserve">2026/03/06</t>
    </r>
  </si>
  <si>
    <t xml:space="preserve">編號</t>
  </si>
  <si>
    <t xml:space="preserve">年度</t>
  </si>
  <si>
    <t xml:space="preserve">日期</t>
  </si>
  <si>
    <t xml:space="preserve">標題</t>
  </si>
  <si>
    <t xml:space="preserve">議題分類</t>
  </si>
  <si>
    <t xml:space="preserve">次要議題</t>
  </si>
  <si>
    <t xml:space="preserve">行動類型</t>
  </si>
  <si>
    <t xml:space="preserve">訴求對象</t>
  </si>
  <si>
    <t xml:space="preserve">政府回應</t>
  </si>
  <si>
    <t xml:space="preserve">檔案名</t>
  </si>
  <si>
    <t xml:space="preserve">2023</t>
  </si>
  <si>
    <t xml:space="preserve">2023/00/00</t>
  </si>
  <si>
    <t xml:space="preserve">記者會新聞稿</t>
  </si>
  <si>
    <t xml:space="preserve">其他</t>
  </si>
  <si>
    <t xml:space="preserve">記者會</t>
  </si>
  <si>
    <r>
      <rPr>
        <sz val="10"/>
        <rFont val="DejaVu Sans"/>
        <family val="2"/>
      </rPr>
      <t xml:space="preserve">記者會新聞稿</t>
    </r>
    <r>
      <rPr>
        <sz val="10"/>
        <rFont val="Arial"/>
        <family val="0"/>
        <charset val="1"/>
      </rPr>
      <t xml:space="preserve">.docx</t>
    </r>
  </si>
  <si>
    <t xml:space="preserve">林為洲新聞稿</t>
  </si>
  <si>
    <t xml:space="preserve">新聞稿</t>
  </si>
  <si>
    <r>
      <rPr>
        <sz val="10"/>
        <rFont val="DejaVu Sans"/>
        <family val="2"/>
      </rPr>
      <t xml:space="preserve">林為洲新聞稿 </t>
    </r>
    <r>
      <rPr>
        <sz val="10"/>
        <rFont val="Arial"/>
        <family val="0"/>
        <charset val="1"/>
      </rPr>
      <t xml:space="preserve">.docx</t>
    </r>
  </si>
  <si>
    <t xml:space="preserve">「預防性騷擾從小開始」記者會新聞稿</t>
  </si>
  <si>
    <t xml:space="preserve">青少年性健康</t>
  </si>
  <si>
    <r>
      <rPr>
        <sz val="10"/>
        <rFont val="DejaVu Sans"/>
        <family val="2"/>
      </rPr>
      <t xml:space="preserve">「預防性騷擾從小開始」記者會新聞稿</t>
    </r>
    <r>
      <rPr>
        <sz val="10"/>
        <rFont val="Arial"/>
        <family val="0"/>
        <charset val="1"/>
      </rPr>
      <t xml:space="preserve">.docx</t>
    </r>
  </si>
  <si>
    <t xml:space="preserve">「增加申請入學穩定度，彰顯『得所應得』的公義價值」新聞稿</t>
  </si>
  <si>
    <t xml:space="preserve">教育政策</t>
  </si>
  <si>
    <r>
      <rPr>
        <sz val="10"/>
        <rFont val="DejaVu Sans"/>
        <family val="2"/>
      </rPr>
      <t xml:space="preserve">「增加申請入學穩定度，彰顯『得所應得』的公義價值」新聞稿</t>
    </r>
    <r>
      <rPr>
        <sz val="10"/>
        <rFont val="Arial"/>
        <family val="0"/>
        <charset val="1"/>
      </rPr>
      <t xml:space="preserve">.docx</t>
    </r>
  </si>
  <si>
    <t xml:space="preserve">政府匆促預告指定菸品健康風險評估辦法 民團強烈要求：避免未</t>
  </si>
  <si>
    <t xml:space="preserve">菸害防制</t>
  </si>
  <si>
    <r>
      <rPr>
        <sz val="10"/>
        <rFont val="Arial"/>
        <family val="0"/>
        <charset val="1"/>
      </rPr>
      <t xml:space="preserve">[2.21</t>
    </r>
    <r>
      <rPr>
        <sz val="10"/>
        <rFont val="DejaVu Sans"/>
        <family val="2"/>
      </rPr>
      <t xml:space="preserve">台灣拒菸聯盟 新聞稿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政府匆促預告指定菸品健康風險評估辦法 民團強烈要求：避免未</t>
    </r>
    <r>
      <rPr>
        <sz val="10"/>
        <rFont val="Arial"/>
        <family val="0"/>
        <charset val="1"/>
      </rPr>
      <t xml:space="preserve">.docx</t>
    </r>
  </si>
  <si>
    <t xml:space="preserve">菸害防制新法民眾疑問大解惑 聯盟呼籲中央政府確實支持縣市衛</t>
  </si>
  <si>
    <r>
      <rPr>
        <sz val="10"/>
        <rFont val="Arial"/>
        <family val="0"/>
        <charset val="1"/>
      </rPr>
      <t xml:space="preserve">[3.17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菸害防制新法民眾疑問大解惑 聯盟呼籲中央政府確實支持縣市衛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</si>
  <si>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2024023</t>
    </r>
    <r>
      <rPr>
        <sz val="10"/>
        <rFont val="DejaVu Sans"/>
        <family val="2"/>
      </rPr>
      <t xml:space="preserve">國教行動聯盟新聞稿「有效預防即時輔導降低霸凌傷害 國教盟與中山大學攜手防制</t>
    </r>
  </si>
  <si>
    <t xml:space="preserve">校園安全</t>
  </si>
  <si>
    <t xml:space="preserve">心理健康</t>
  </si>
  <si>
    <r>
      <rPr>
        <sz val="10"/>
        <rFont val="Arial"/>
        <family val="0"/>
        <charset val="1"/>
      </rPr>
      <t xml:space="preserve">2024023</t>
    </r>
    <r>
      <rPr>
        <sz val="10"/>
        <rFont val="DejaVu Sans"/>
        <family val="2"/>
      </rPr>
      <t xml:space="preserve">國教行動聯盟新聞稿「有效預防即時輔導降低霸凌傷害 國教盟與中山大學攜手防制</t>
    </r>
    <r>
      <rPr>
        <sz val="10"/>
        <rFont val="Arial"/>
        <family val="0"/>
        <charset val="1"/>
      </rPr>
      <t xml:space="preserve">.docx</t>
    </r>
  </si>
  <si>
    <t xml:space="preserve">2023/01/04</t>
  </si>
  <si>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會後</t>
    </r>
  </si>
  <si>
    <r>
      <rPr>
        <sz val="10"/>
        <rFont val="Arial"/>
        <family val="0"/>
        <charset val="1"/>
      </rPr>
      <t xml:space="preserve">20230104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會後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</si>
  <si>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全長聯新聞稿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草稿（文昌修）</t>
    </r>
  </si>
  <si>
    <r>
      <rPr>
        <sz val="10"/>
        <rFont val="Arial"/>
        <family val="0"/>
        <charset val="1"/>
      </rPr>
      <t xml:space="preserve">20230104</t>
    </r>
    <r>
      <rPr>
        <sz val="10"/>
        <rFont val="DejaVu Sans"/>
        <family val="2"/>
      </rPr>
      <t xml:space="preserve">全長聯新聞稿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草稿（文昌修）</t>
    </r>
    <r>
      <rPr>
        <sz val="10"/>
        <rFont val="Arial"/>
        <family val="0"/>
        <charset val="1"/>
      </rPr>
      <t xml:space="preserve">.docx</t>
    </r>
  </si>
  <si>
    <t xml:space="preserve">2023/01/09</t>
  </si>
  <si>
    <r>
      <rPr>
        <sz val="10"/>
        <rFont val="Arial"/>
        <family val="0"/>
        <charset val="1"/>
      </rPr>
      <t xml:space="preserve">20230109</t>
    </r>
    <r>
      <rPr>
        <sz val="10"/>
        <rFont val="DejaVu Sans"/>
        <family val="2"/>
      </rPr>
      <t xml:space="preserve">全長聯新聞稿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草稿（文昌修）</t>
    </r>
    <r>
      <rPr>
        <sz val="10"/>
        <rFont val="Arial"/>
        <family val="0"/>
        <charset val="1"/>
      </rPr>
      <t xml:space="preserve">.docx</t>
    </r>
  </si>
  <si>
    <t xml:space="preserve">2023/01/10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</si>
  <si>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110</t>
    </r>
    <r>
      <rPr>
        <sz val="10"/>
        <rFont val="DejaVu Sans"/>
        <family val="2"/>
      </rPr>
      <t xml:space="preserve">拒絕菸品載具廣告 搶救下一代 」新聞稿</t>
    </r>
    <r>
      <rPr>
        <sz val="10"/>
        <rFont val="Arial"/>
        <family val="0"/>
        <charset val="1"/>
      </rPr>
      <t xml:space="preserve">ok</t>
    </r>
  </si>
  <si>
    <r>
      <rPr>
        <sz val="10"/>
        <rFont val="Arial"/>
        <family val="0"/>
        <charset val="1"/>
      </rPr>
      <t xml:space="preserve">20230110</t>
    </r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110</t>
    </r>
    <r>
      <rPr>
        <sz val="10"/>
        <rFont val="DejaVu Sans"/>
        <family val="2"/>
      </rPr>
      <t xml:space="preserve">拒絕菸品載具廣告 搶救下一代 」新聞稿</t>
    </r>
    <r>
      <rPr>
        <sz val="10"/>
        <rFont val="Arial"/>
        <family val="0"/>
        <charset val="1"/>
      </rPr>
      <t xml:space="preserve">ok.docx</t>
    </r>
  </si>
  <si>
    <t xml:space="preserve">2023/01/12</t>
  </si>
  <si>
    <r>
      <rPr>
        <sz val="10"/>
        <rFont val="Arial"/>
        <family val="0"/>
        <charset val="1"/>
      </rPr>
      <t xml:space="preserve">[112.1.12</t>
    </r>
    <r>
      <rPr>
        <sz val="10"/>
        <rFont val="DejaVu Sans"/>
        <family val="2"/>
      </rPr>
      <t xml:space="preserve">全國家長會長聯盟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</si>
  <si>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[112.1.12</t>
    </r>
    <r>
      <rPr>
        <sz val="10"/>
        <rFont val="DejaVu Sans"/>
        <family val="2"/>
      </rPr>
      <t xml:space="preserve">全國家長會長聯盟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].docx</t>
    </r>
  </si>
  <si>
    <r>
      <rPr>
        <sz val="10"/>
        <rFont val="Arial"/>
        <family val="0"/>
        <charset val="1"/>
      </rPr>
      <t xml:space="preserve">112.1.12[</t>
    </r>
    <r>
      <rPr>
        <sz val="10"/>
        <rFont val="DejaVu Sans"/>
        <family val="2"/>
      </rPr>
      <t xml:space="preserve">全國家長會長聯盟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台灣拒菸聯盟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.docx</t>
    </r>
  </si>
  <si>
    <t xml:space="preserve">修</t>
  </si>
  <si>
    <r>
      <rPr>
        <sz val="10"/>
        <rFont val="Arial"/>
        <family val="0"/>
        <charset val="1"/>
      </rPr>
      <t xml:space="preserve">[112.1.12</t>
    </r>
    <r>
      <rPr>
        <sz val="10"/>
        <rFont val="DejaVu Sans"/>
        <family val="2"/>
      </rPr>
      <t xml:space="preserve">全國家長會長聯盟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修</t>
    </r>
    <r>
      <rPr>
        <sz val="10"/>
        <rFont val="Arial"/>
        <family val="0"/>
        <charset val="1"/>
      </rPr>
      <t xml:space="preserve">.docx</t>
    </r>
  </si>
  <si>
    <t xml:space="preserve">2023/02/17</t>
  </si>
  <si>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</si>
  <si>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2.17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</t>
    </r>
    <r>
      <rPr>
        <sz val="10"/>
        <rFont val="Arial"/>
        <family val="0"/>
        <charset val="1"/>
      </rPr>
      <t xml:space="preserve">1.docx</t>
    </r>
  </si>
  <si>
    <t xml:space="preserve">2023/03/02</t>
  </si>
  <si>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</t>
    </r>
    <r>
      <rPr>
        <sz val="10"/>
        <rFont val="Arial"/>
        <family val="0"/>
        <charset val="1"/>
      </rPr>
      <t xml:space="preserve">-6</t>
    </r>
  </si>
  <si>
    <r>
      <rPr>
        <sz val="10"/>
        <rFont val="Arial"/>
        <family val="0"/>
        <charset val="1"/>
      </rPr>
      <t xml:space="preserve">3.2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</t>
    </r>
    <r>
      <rPr>
        <sz val="10"/>
        <rFont val="Arial"/>
        <family val="0"/>
        <charset val="1"/>
      </rPr>
      <t xml:space="preserve">-6.docx</t>
    </r>
  </si>
  <si>
    <t xml:space="preserve">2023/03/07</t>
  </si>
  <si>
    <r>
      <rPr>
        <sz val="10"/>
        <rFont val="DejaVu Sans"/>
        <family val="2"/>
      </rPr>
      <t xml:space="preserve">台灣拒菸聯盟新聞稿符合世界潮流  台灣大專校院全面禁菸</t>
    </r>
    <r>
      <rPr>
        <sz val="10"/>
        <rFont val="Arial"/>
        <family val="0"/>
        <charset val="1"/>
      </rPr>
      <t xml:space="preserve">ok</t>
    </r>
  </si>
  <si>
    <r>
      <rPr>
        <sz val="10"/>
        <rFont val="Arial"/>
        <family val="0"/>
        <charset val="1"/>
      </rPr>
      <t xml:space="preserve">3.7</t>
    </r>
    <r>
      <rPr>
        <sz val="10"/>
        <rFont val="DejaVu Sans"/>
        <family val="2"/>
      </rPr>
      <t xml:space="preserve">台灣拒菸聯盟新聞稿符合世界潮流  台灣大專校院全面禁菸</t>
    </r>
    <r>
      <rPr>
        <sz val="10"/>
        <rFont val="Arial"/>
        <family val="0"/>
        <charset val="1"/>
      </rPr>
      <t xml:space="preserve">ok.docx</t>
    </r>
  </si>
  <si>
    <t xml:space="preserve">2023/03/25</t>
  </si>
  <si>
    <r>
      <rPr>
        <sz val="10"/>
        <rFont val="DejaVu Sans"/>
        <family val="2"/>
      </rPr>
      <t xml:space="preserve">加味菸預告新聞稿</t>
    </r>
    <r>
      <rPr>
        <sz val="10"/>
        <rFont val="Arial"/>
        <family val="0"/>
        <charset val="1"/>
      </rPr>
      <t xml:space="preserve">OK(1)</t>
    </r>
  </si>
  <si>
    <r>
      <rPr>
        <sz val="10"/>
        <rFont val="Arial"/>
        <family val="0"/>
        <charset val="1"/>
      </rPr>
      <t xml:space="preserve">3.25</t>
    </r>
    <r>
      <rPr>
        <sz val="10"/>
        <rFont val="DejaVu Sans"/>
        <family val="2"/>
      </rPr>
      <t xml:space="preserve">加味菸預告新聞稿</t>
    </r>
    <r>
      <rPr>
        <sz val="10"/>
        <rFont val="Arial"/>
        <family val="0"/>
        <charset val="1"/>
      </rPr>
      <t xml:space="preserve">OK(1).docx</t>
    </r>
  </si>
  <si>
    <t xml:space="preserve">2023/03/27</t>
  </si>
  <si>
    <r>
      <rPr>
        <sz val="10"/>
        <rFont val="DejaVu Sans"/>
        <family val="2"/>
      </rPr>
      <t xml:space="preserve">人本教育基金會新聞稿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請政府堅定支援父母，終止暴力複製</t>
    </r>
  </si>
  <si>
    <r>
      <rPr>
        <sz val="10"/>
        <rFont val="Arial"/>
        <family val="0"/>
        <charset val="1"/>
      </rPr>
      <t xml:space="preserve">20230327</t>
    </r>
    <r>
      <rPr>
        <sz val="10"/>
        <rFont val="DejaVu Sans"/>
        <family val="2"/>
      </rPr>
      <t xml:space="preserve">人本教育基金會新聞稿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請政府堅定支援父母，終止暴力複製</t>
    </r>
    <r>
      <rPr>
        <sz val="10"/>
        <rFont val="Arial"/>
        <family val="0"/>
        <charset val="1"/>
      </rPr>
      <t xml:space="preserve">.docx</t>
    </r>
  </si>
  <si>
    <t xml:space="preserve">2023/03/29</t>
  </si>
  <si>
    <t xml:space="preserve">新聞稿：合理管教並非暴力 支持正向管教 反對粗暴修法剝奪家長管教權</t>
  </si>
  <si>
    <t xml:space="preserve">兒少保護</t>
  </si>
  <si>
    <r>
      <rPr>
        <sz val="10"/>
        <rFont val="Arial"/>
        <family val="0"/>
        <charset val="1"/>
      </rPr>
      <t xml:space="preserve">20230329</t>
    </r>
    <r>
      <rPr>
        <sz val="10"/>
        <rFont val="DejaVu Sans"/>
        <family val="2"/>
      </rPr>
      <t xml:space="preserve">新聞稿：合理管教並非暴力 支持正向管教 反對粗暴修法剝奪家長管教權</t>
    </r>
    <r>
      <rPr>
        <sz val="10"/>
        <rFont val="Arial"/>
        <family val="0"/>
        <charset val="1"/>
      </rPr>
      <t xml:space="preserve">.docx</t>
    </r>
  </si>
  <si>
    <t xml:space="preserve">2023/05/04</t>
  </si>
  <si>
    <r>
      <rPr>
        <sz val="10"/>
        <rFont val="DejaVu Sans"/>
        <family val="2"/>
      </rPr>
      <t xml:space="preserve">禁止加味菸新聞稿</t>
    </r>
    <r>
      <rPr>
        <sz val="10"/>
        <rFont val="Arial"/>
        <family val="0"/>
        <charset val="1"/>
      </rPr>
      <t xml:space="preserve">ok</t>
    </r>
  </si>
  <si>
    <r>
      <rPr>
        <sz val="10"/>
        <rFont val="Arial"/>
        <family val="0"/>
        <charset val="1"/>
      </rPr>
      <t xml:space="preserve">5.4 </t>
    </r>
    <r>
      <rPr>
        <sz val="10"/>
        <rFont val="DejaVu Sans"/>
        <family val="2"/>
      </rPr>
      <t xml:space="preserve">禁止加味菸新聞稿</t>
    </r>
    <r>
      <rPr>
        <sz val="10"/>
        <rFont val="Arial"/>
        <family val="0"/>
        <charset val="1"/>
      </rPr>
      <t xml:space="preserve">ok.docx</t>
    </r>
  </si>
  <si>
    <t xml:space="preserve">新聞稿草稿</t>
  </si>
  <si>
    <r>
      <rPr>
        <sz val="10"/>
        <rFont val="Arial"/>
        <family val="0"/>
        <charset val="1"/>
      </rPr>
      <t xml:space="preserve">5.4</t>
    </r>
    <r>
      <rPr>
        <sz val="10"/>
        <rFont val="DejaVu Sans"/>
        <family val="2"/>
      </rPr>
      <t xml:space="preserve">新聞稿草稿</t>
    </r>
    <r>
      <rPr>
        <sz val="10"/>
        <rFont val="Arial"/>
        <family val="0"/>
        <charset val="1"/>
      </rPr>
      <t xml:space="preserve">.docx</t>
    </r>
  </si>
  <si>
    <t xml:space="preserve">2023/05/11</t>
  </si>
  <si>
    <t xml:space="preserve">國教行動聯盟新聞稿「有效預防即時輔導降低霸凌傷害 國教盟與橄欖枝中心攜手防</t>
  </si>
  <si>
    <r>
      <rPr>
        <sz val="10"/>
        <rFont val="Arial"/>
        <family val="0"/>
        <charset val="1"/>
      </rPr>
      <t xml:space="preserve">20230511</t>
    </r>
    <r>
      <rPr>
        <sz val="10"/>
        <rFont val="DejaVu Sans"/>
        <family val="2"/>
      </rPr>
      <t xml:space="preserve">國教行動聯盟新聞稿「有效預防即時輔導降低霸凌傷害 國教盟與橄欖枝中心攜手防</t>
    </r>
    <r>
      <rPr>
        <sz val="10"/>
        <rFont val="Arial"/>
        <family val="0"/>
        <charset val="1"/>
      </rPr>
      <t xml:space="preserve">.docx</t>
    </r>
  </si>
  <si>
    <t xml:space="preserve">2023/05/22</t>
  </si>
  <si>
    <r>
      <rPr>
        <sz val="10"/>
        <rFont val="DejaVu Sans"/>
        <family val="2"/>
      </rPr>
      <t xml:space="preserve">台灣拒菸聯盟 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</t>
    </r>
  </si>
  <si>
    <r>
      <rPr>
        <sz val="10"/>
        <rFont val="Arial"/>
        <family val="0"/>
        <charset val="1"/>
      </rPr>
      <t xml:space="preserve">20230522</t>
    </r>
    <r>
      <rPr>
        <sz val="10"/>
        <rFont val="DejaVu Sans"/>
        <family val="2"/>
      </rPr>
      <t xml:space="preserve">台灣拒菸聯盟 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草稿</t>
    </r>
    <r>
      <rPr>
        <sz val="10"/>
        <rFont val="Arial"/>
        <family val="0"/>
        <charset val="1"/>
      </rPr>
      <t xml:space="preserve">.docx</t>
    </r>
  </si>
  <si>
    <t xml:space="preserve">2023/05/29</t>
  </si>
  <si>
    <r>
      <rPr>
        <sz val="10"/>
        <rFont val="Arial"/>
        <family val="0"/>
        <charset val="1"/>
      </rPr>
      <t xml:space="preserve">5.29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.docx</t>
    </r>
  </si>
  <si>
    <t xml:space="preserve">2023/06/14</t>
  </si>
  <si>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</si>
  <si>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6.14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草</t>
    </r>
    <r>
      <rPr>
        <sz val="10"/>
        <rFont val="Arial"/>
        <family val="0"/>
        <charset val="1"/>
      </rPr>
      <t xml:space="preserve">4.docx</t>
    </r>
  </si>
  <si>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台灣拒菸聯盟致函縣市長 力推「高中職以下學校周邊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公尺內拒售加熱菸」</t>
    </r>
  </si>
  <si>
    <r>
      <rPr>
        <sz val="10"/>
        <rFont val="Arial"/>
        <family val="0"/>
        <charset val="1"/>
      </rPr>
      <t xml:space="preserve">6.14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台灣拒菸聯盟致函縣市長 力推「高中職以下學校周邊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公尺內拒售加熱菸」</t>
    </r>
    <r>
      <rPr>
        <sz val="10"/>
        <rFont val="Arial"/>
        <family val="0"/>
        <charset val="1"/>
      </rPr>
      <t xml:space="preserve">.docx</t>
    </r>
  </si>
  <si>
    <t xml:space="preserve">2023/06/20</t>
  </si>
  <si>
    <t xml:space="preserve">國教行動聯盟新聞稿「國教盟呼籲家長信任幼教人員」</t>
  </si>
  <si>
    <r>
      <rPr>
        <sz val="10"/>
        <rFont val="Arial"/>
        <family val="0"/>
        <charset val="1"/>
      </rPr>
      <t xml:space="preserve">20230620</t>
    </r>
    <r>
      <rPr>
        <sz val="10"/>
        <rFont val="DejaVu Sans"/>
        <family val="2"/>
      </rPr>
      <t xml:space="preserve">國教行動聯盟新聞稿「國教盟呼籲家長信任幼教人員」</t>
    </r>
    <r>
      <rPr>
        <sz val="10"/>
        <rFont val="Arial"/>
        <family val="0"/>
        <charset val="1"/>
      </rPr>
      <t xml:space="preserve">.docx</t>
    </r>
  </si>
  <si>
    <t xml:space="preserve">2023/06/30</t>
  </si>
  <si>
    <t xml:space="preserve">國教行動聯盟新聞稿「給他魚吃不如教他釣魚  提升學生競爭力應優先於學費補貼」</t>
  </si>
  <si>
    <r>
      <rPr>
        <sz val="10"/>
        <rFont val="Arial"/>
        <family val="0"/>
        <charset val="1"/>
      </rPr>
      <t xml:space="preserve">20230630</t>
    </r>
    <r>
      <rPr>
        <sz val="10"/>
        <rFont val="DejaVu Sans"/>
        <family val="2"/>
      </rPr>
      <t xml:space="preserve">國教行動聯盟新聞稿「給他魚吃不如教他釣魚  提升學生競爭力應優先於學費補貼」</t>
    </r>
    <r>
      <rPr>
        <sz val="10"/>
        <rFont val="Arial"/>
        <family val="0"/>
        <charset val="1"/>
      </rPr>
      <t xml:space="preserve">.docx</t>
    </r>
  </si>
  <si>
    <t xml:space="preserve">2023/07/04</t>
  </si>
  <si>
    <t xml:space="preserve">國教行動聯盟「支持合理管教，拒絕暴力發飆」新聞稿</t>
  </si>
  <si>
    <r>
      <rPr>
        <sz val="10"/>
        <rFont val="Arial"/>
        <family val="0"/>
        <charset val="1"/>
      </rPr>
      <t xml:space="preserve">20230704</t>
    </r>
    <r>
      <rPr>
        <sz val="10"/>
        <rFont val="DejaVu Sans"/>
        <family val="2"/>
      </rPr>
      <t xml:space="preserve">：國教行動聯盟「支持合理管教，拒絕暴力發飆」新聞稿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</si>
  <si>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新聞稿：國教行動聯盟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台灣共善促進協會【正視大麻趨勢與危害，研商保護青少年</t>
    </r>
  </si>
  <si>
    <t xml:space="preserve">大麻防制</t>
  </si>
  <si>
    <r>
      <rPr>
        <sz val="10"/>
        <rFont val="Arial"/>
        <family val="0"/>
        <charset val="1"/>
      </rPr>
      <t xml:space="preserve">20230704</t>
    </r>
    <r>
      <rPr>
        <sz val="10"/>
        <rFont val="DejaVu Sans"/>
        <family val="2"/>
      </rPr>
      <t xml:space="preserve">新聞稿：國教行動聯盟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台灣共善促進協會【正視大麻趨勢與危害，研商保護青少年</t>
    </r>
    <r>
      <rPr>
        <sz val="10"/>
        <rFont val="Arial"/>
        <family val="0"/>
        <charset val="1"/>
      </rPr>
      <t xml:space="preserve">.docx</t>
    </r>
  </si>
  <si>
    <t xml:space="preserve">2023/07/29</t>
  </si>
  <si>
    <t xml:space="preserve">國教行動聯盟對「性別平等教育法」三讀通過的回應</t>
  </si>
  <si>
    <r>
      <rPr>
        <sz val="10"/>
        <rFont val="Arial"/>
        <family val="0"/>
        <charset val="1"/>
      </rPr>
      <t xml:space="preserve">20230729</t>
    </r>
    <r>
      <rPr>
        <sz val="10"/>
        <rFont val="DejaVu Sans"/>
        <family val="2"/>
      </rPr>
      <t xml:space="preserve">國教行動聯盟對「性別平等教育法」三讀通過的回應</t>
    </r>
    <r>
      <rPr>
        <sz val="10"/>
        <rFont val="Arial"/>
        <family val="0"/>
        <charset val="1"/>
      </rPr>
      <t xml:space="preserve">.docx</t>
    </r>
  </si>
  <si>
    <t xml:space="preserve">2023/08/21</t>
  </si>
  <si>
    <r>
      <rPr>
        <sz val="10"/>
        <rFont val="Arial"/>
        <family val="0"/>
        <charset val="1"/>
      </rPr>
      <t xml:space="preserve">20230821</t>
    </r>
    <r>
      <rPr>
        <sz val="10"/>
        <rFont val="DejaVu Sans"/>
        <family val="2"/>
      </rPr>
      <t xml:space="preserve">國教行動聯盟新聞稿「有效預防即時輔導降低霸凌傷害 國教盟與橄欖枝中心攜手防</t>
    </r>
    <r>
      <rPr>
        <sz val="10"/>
        <rFont val="Arial"/>
        <family val="0"/>
        <charset val="1"/>
      </rPr>
      <t xml:space="preserve">.docx</t>
    </r>
  </si>
  <si>
    <t xml:space="preserve">2023/08/31</t>
  </si>
  <si>
    <t xml:space="preserve">新聞稿：霸凌防制修法配套不足 預防及輔導才是重點</t>
  </si>
  <si>
    <r>
      <rPr>
        <sz val="10"/>
        <rFont val="Arial"/>
        <family val="0"/>
        <charset val="1"/>
      </rPr>
      <t xml:space="preserve">20230831</t>
    </r>
    <r>
      <rPr>
        <sz val="10"/>
        <rFont val="DejaVu Sans"/>
        <family val="2"/>
      </rPr>
      <t xml:space="preserve">新聞稿：霸凌防制修法配套不足 預防及輔導才是重點</t>
    </r>
    <r>
      <rPr>
        <sz val="10"/>
        <rFont val="Arial"/>
        <family val="0"/>
        <charset val="1"/>
      </rPr>
      <t xml:space="preserve">.docx</t>
    </r>
  </si>
  <si>
    <t xml:space="preserve">2023/09/05</t>
  </si>
  <si>
    <r>
      <rPr>
        <sz val="10"/>
        <rFont val="Arial"/>
        <family val="0"/>
        <charset val="1"/>
      </rPr>
      <t xml:space="preserve">9.5</t>
    </r>
    <r>
      <rPr>
        <sz val="10"/>
        <rFont val="DejaVu Sans"/>
        <family val="2"/>
      </rPr>
      <t xml:space="preserve">記者會新聞稿</t>
    </r>
    <r>
      <rPr>
        <sz val="10"/>
        <rFont val="Arial"/>
        <family val="0"/>
        <charset val="1"/>
      </rPr>
      <t xml:space="preserve">.docx</t>
    </r>
  </si>
  <si>
    <t xml:space="preserve">2023/09/06</t>
  </si>
  <si>
    <r>
      <rPr>
        <sz val="10"/>
        <rFont val="Arial"/>
        <family val="0"/>
        <charset val="1"/>
      </rPr>
      <t xml:space="preserve">9.6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.docx</t>
    </r>
  </si>
  <si>
    <t xml:space="preserve">國教行動聯盟新聞稿「加熱菸審查欠缺嚴格把關與本土研究  青少年將成受害最大族</t>
  </si>
  <si>
    <r>
      <rPr>
        <sz val="10"/>
        <rFont val="Arial"/>
        <family val="0"/>
        <charset val="1"/>
      </rPr>
      <t xml:space="preserve">20230906</t>
    </r>
    <r>
      <rPr>
        <sz val="10"/>
        <rFont val="DejaVu Sans"/>
        <family val="2"/>
      </rPr>
      <t xml:space="preserve">國教行動聯盟新聞稿「加熱菸審查欠缺嚴格把關與本土研究  青少年將成受害最大族</t>
    </r>
    <r>
      <rPr>
        <sz val="10"/>
        <rFont val="Arial"/>
        <family val="0"/>
        <charset val="1"/>
      </rPr>
      <t xml:space="preserve">.docx</t>
    </r>
  </si>
  <si>
    <t xml:space="preserve">2023/09/22</t>
  </si>
  <si>
    <t xml:space="preserve">台灣拒菸聯盟新聞稿</t>
  </si>
  <si>
    <r>
      <rPr>
        <sz val="10"/>
        <rFont val="Arial"/>
        <family val="0"/>
        <charset val="1"/>
      </rPr>
      <t xml:space="preserve">112.9.22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.docx</t>
    </r>
  </si>
  <si>
    <t xml:space="preserve">2023/09/25</t>
  </si>
  <si>
    <t xml:space="preserve">國教行動聯盟新聞稿「國教盟呼籲共同致力師生關係」</t>
  </si>
  <si>
    <r>
      <rPr>
        <sz val="10"/>
        <rFont val="Arial"/>
        <family val="0"/>
        <charset val="1"/>
      </rPr>
      <t xml:space="preserve">20230925</t>
    </r>
    <r>
      <rPr>
        <sz val="10"/>
        <rFont val="DejaVu Sans"/>
        <family val="2"/>
      </rPr>
      <t xml:space="preserve">國教行動聯盟新聞稿「國教盟呼籲共同致力師生關係」</t>
    </r>
    <r>
      <rPr>
        <sz val="10"/>
        <rFont val="Arial"/>
        <family val="0"/>
        <charset val="1"/>
      </rPr>
      <t xml:space="preserve">.docx</t>
    </r>
  </si>
  <si>
    <t xml:space="preserve">2023/12/07</t>
  </si>
  <si>
    <t xml:space="preserve">國教行動聯盟新聞稿「推動友善校園、反霸凌、反歧視，應由增加輔導資源、落實品</t>
  </si>
  <si>
    <t xml:space="preserve">公聽會</t>
  </si>
  <si>
    <r>
      <rPr>
        <sz val="10"/>
        <rFont val="Arial"/>
        <family val="0"/>
        <charset val="1"/>
      </rPr>
      <t xml:space="preserve">20231207</t>
    </r>
    <r>
      <rPr>
        <sz val="10"/>
        <rFont val="DejaVu Sans"/>
        <family val="2"/>
      </rPr>
      <t xml:space="preserve">國教行動聯盟新聞稿「推動友善校園、反霸凌、反歧視，應由增加輔導資源、落實品</t>
    </r>
    <r>
      <rPr>
        <sz val="10"/>
        <rFont val="Arial"/>
        <family val="0"/>
        <charset val="1"/>
      </rPr>
      <t xml:space="preserve">.docx</t>
    </r>
  </si>
  <si>
    <t xml:space="preserve">2023/12/11</t>
  </si>
  <si>
    <t xml:space="preserve">國教行動聯盟新聞稿「北一女教師罵課綱引關注 凸顯品格是教育重中之重」</t>
  </si>
  <si>
    <r>
      <rPr>
        <sz val="10"/>
        <rFont val="Arial"/>
        <family val="0"/>
        <charset val="1"/>
      </rPr>
      <t xml:space="preserve">20231211</t>
    </r>
    <r>
      <rPr>
        <sz val="10"/>
        <rFont val="DejaVu Sans"/>
        <family val="2"/>
      </rPr>
      <t xml:space="preserve">國教行動聯盟新聞稿「北一女教師罵課綱引關注 凸顯品格是教育重中之重」</t>
    </r>
    <r>
      <rPr>
        <sz val="10"/>
        <rFont val="Arial"/>
        <family val="0"/>
        <charset val="1"/>
      </rPr>
      <t xml:space="preserve">.docx</t>
    </r>
  </si>
  <si>
    <t xml:space="preserve">2023/12/16</t>
  </si>
  <si>
    <r>
      <rPr>
        <sz val="10"/>
        <rFont val="Arial"/>
        <family val="0"/>
        <charset val="1"/>
      </rPr>
      <t xml:space="preserve">20231216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.docx</t>
    </r>
  </si>
  <si>
    <t xml:space="preserve">2023/12/20</t>
  </si>
  <si>
    <r>
      <rPr>
        <sz val="10"/>
        <rFont val="Arial"/>
        <family val="0"/>
        <charset val="1"/>
      </rPr>
      <t xml:space="preserve">20231220</t>
    </r>
    <r>
      <rPr>
        <sz val="10"/>
        <rFont val="DejaVu Sans"/>
        <family val="2"/>
      </rPr>
      <t xml:space="preserve">新聞稿</t>
    </r>
    <r>
      <rPr>
        <sz val="10"/>
        <rFont val="Arial"/>
        <family val="0"/>
        <charset val="1"/>
      </rPr>
      <t xml:space="preserve">.docx</t>
    </r>
  </si>
  <si>
    <t xml:space="preserve">2023/12/27</t>
  </si>
  <si>
    <t xml:space="preserve">國教行動聯盟「曝險少年輔導多頭馬車 校園攻擊並非偶然」新聞稿</t>
  </si>
  <si>
    <r>
      <rPr>
        <sz val="10"/>
        <rFont val="Arial"/>
        <family val="0"/>
        <charset val="1"/>
      </rPr>
      <t xml:space="preserve">20231227</t>
    </r>
    <r>
      <rPr>
        <sz val="10"/>
        <rFont val="DejaVu Sans"/>
        <family val="2"/>
      </rPr>
      <t xml:space="preserve">：國教行動聯盟「曝險少年輔導多頭馬車 校園攻擊並非偶然」新聞稿</t>
    </r>
    <r>
      <rPr>
        <sz val="10"/>
        <rFont val="Arial"/>
        <family val="0"/>
        <charset val="1"/>
      </rPr>
      <t xml:space="preserve">.docx</t>
    </r>
  </si>
  <si>
    <t xml:space="preserve">2024</t>
  </si>
  <si>
    <t xml:space="preserve">2024/00/00</t>
  </si>
  <si>
    <r>
      <rPr>
        <sz val="10"/>
        <rFont val="Arial"/>
        <family val="0"/>
        <charset val="1"/>
      </rPr>
      <t xml:space="preserve">0104</t>
    </r>
    <r>
      <rPr>
        <sz val="10"/>
        <rFont val="DejaVu Sans"/>
        <family val="2"/>
      </rPr>
      <t xml:space="preserve">新聞稿與發言重點</t>
    </r>
  </si>
  <si>
    <r>
      <rPr>
        <sz val="10"/>
        <rFont val="Arial"/>
        <family val="0"/>
        <charset val="1"/>
      </rPr>
      <t xml:space="preserve">0104</t>
    </r>
    <r>
      <rPr>
        <sz val="10"/>
        <rFont val="DejaVu Sans"/>
        <family val="2"/>
      </rPr>
      <t xml:space="preserve">新聞稿與發言重點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</si>
  <si>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1101221+</t>
    </r>
    <r>
      <rPr>
        <sz val="10"/>
        <rFont val="DejaVu Sans"/>
        <family val="2"/>
      </rPr>
      <t xml:space="preserve">跨院際「少年事件政策協商平台會議」新聞稿</t>
    </r>
  </si>
  <si>
    <r>
      <rPr>
        <sz val="10"/>
        <rFont val="Arial"/>
        <family val="0"/>
        <charset val="1"/>
      </rPr>
      <t xml:space="preserve">1101221+</t>
    </r>
    <r>
      <rPr>
        <sz val="10"/>
        <rFont val="DejaVu Sans"/>
        <family val="2"/>
      </rPr>
      <t xml:space="preserve">跨院際「少年事件政策協商平台會議」新聞稿</t>
    </r>
    <r>
      <rPr>
        <sz val="10"/>
        <rFont val="Arial"/>
        <family val="0"/>
        <charset val="1"/>
      </rPr>
      <t xml:space="preserve">.docx</t>
    </r>
  </si>
  <si>
    <t xml:space="preserve">2024/01/09</t>
  </si>
  <si>
    <t xml:space="preserve">國教行動聯盟「補保護漏洞 和黑幫搶人 不讓少年殺人事件再度發生」新聞稿</t>
  </si>
  <si>
    <r>
      <rPr>
        <sz val="10"/>
        <rFont val="Arial"/>
        <family val="0"/>
        <charset val="1"/>
      </rPr>
      <t xml:space="preserve">20240109</t>
    </r>
    <r>
      <rPr>
        <sz val="10"/>
        <rFont val="DejaVu Sans"/>
        <family val="2"/>
      </rPr>
      <t xml:space="preserve">：國教行動聯盟「補保護漏洞 和黑幫搶人 不讓少年殺人事件再度發生」新聞稿</t>
    </r>
    <r>
      <rPr>
        <sz val="10"/>
        <rFont val="Arial"/>
        <family val="0"/>
        <charset val="1"/>
      </rPr>
      <t xml:space="preserve">.docx</t>
    </r>
  </si>
  <si>
    <t xml:space="preserve">2024/01/19</t>
  </si>
  <si>
    <t xml:space="preserve">國教行動聯盟「少年犯罪日益嚴重 新北殺人事件並非偶然」記者會新聞稿</t>
  </si>
  <si>
    <r>
      <rPr>
        <sz val="10"/>
        <rFont val="Arial"/>
        <family val="0"/>
        <charset val="1"/>
      </rPr>
      <t xml:space="preserve">20240119</t>
    </r>
    <r>
      <rPr>
        <sz val="10"/>
        <rFont val="DejaVu Sans"/>
        <family val="2"/>
      </rPr>
      <t xml:space="preserve">：國教行動聯盟「少年犯罪日益嚴重 新北殺人事件並非偶然」記者會新聞稿</t>
    </r>
    <r>
      <rPr>
        <sz val="10"/>
        <rFont val="Arial"/>
        <family val="0"/>
        <charset val="1"/>
      </rPr>
      <t xml:space="preserve">.docx</t>
    </r>
  </si>
  <si>
    <t xml:space="preserve">2024/03/19</t>
  </si>
  <si>
    <t xml:space="preserve">國教行動聯盟「少保官未見檢討 曝險少年定義狹隘 中介教育空中樓閣  是真心檢</t>
  </si>
  <si>
    <r>
      <rPr>
        <sz val="10"/>
        <rFont val="Arial"/>
        <family val="0"/>
        <charset val="1"/>
      </rPr>
      <t xml:space="preserve">20240319</t>
    </r>
    <r>
      <rPr>
        <sz val="10"/>
        <rFont val="DejaVu Sans"/>
        <family val="2"/>
      </rPr>
      <t xml:space="preserve">：國教行動聯盟「少保官未見檢討 曝險少年定義狹隘 中介教育空中樓閣  是真心檢</t>
    </r>
    <r>
      <rPr>
        <sz val="10"/>
        <rFont val="Arial"/>
        <family val="0"/>
        <charset val="1"/>
      </rPr>
      <t xml:space="preserve">.docx</t>
    </r>
  </si>
  <si>
    <t xml:space="preserve">2024/04/17</t>
  </si>
  <si>
    <t xml:space="preserve">新聞稿：國教盟回應霸凌準則修正：肯定教育部勇於面對問題 回應民間團體訴求 積</t>
  </si>
  <si>
    <r>
      <rPr>
        <sz val="10"/>
        <rFont val="Arial"/>
        <family val="0"/>
        <charset val="1"/>
      </rPr>
      <t xml:space="preserve">20240417</t>
    </r>
    <r>
      <rPr>
        <sz val="10"/>
        <rFont val="DejaVu Sans"/>
        <family val="2"/>
      </rPr>
      <t xml:space="preserve">新聞稿：國教盟回應霸凌準則修正：肯定教育部勇於面對問題 回應民間團體訴求 積</t>
    </r>
    <r>
      <rPr>
        <sz val="10"/>
        <rFont val="Arial"/>
        <family val="0"/>
        <charset val="1"/>
      </rPr>
      <t xml:space="preserve">.docx</t>
    </r>
  </si>
  <si>
    <t xml:space="preserve">2024/04/24</t>
  </si>
  <si>
    <t xml:space="preserve">新聞稿：回應學生輔導法修法 國教盟提出三大訴求</t>
  </si>
  <si>
    <r>
      <rPr>
        <sz val="10"/>
        <rFont val="Arial"/>
        <family val="0"/>
        <charset val="1"/>
      </rPr>
      <t xml:space="preserve">20240424</t>
    </r>
    <r>
      <rPr>
        <sz val="10"/>
        <rFont val="DejaVu Sans"/>
        <family val="2"/>
      </rPr>
      <t xml:space="preserve">新聞稿：回應學生輔導法修法 國教盟提出三大訴求</t>
    </r>
    <r>
      <rPr>
        <sz val="10"/>
        <rFont val="Arial"/>
        <family val="0"/>
        <charset val="1"/>
      </rPr>
      <t xml:space="preserve">.docx</t>
    </r>
  </si>
  <si>
    <t xml:space="preserve">2024/07/09</t>
  </si>
  <si>
    <t xml:space="preserve">國教行動聯盟新聞稿「國教盟肯定學生輔導法修法符合期待 預期將有助學生心理健</t>
  </si>
  <si>
    <r>
      <rPr>
        <sz val="10"/>
        <rFont val="Arial"/>
        <family val="0"/>
        <charset val="1"/>
      </rPr>
      <t xml:space="preserve">20240709</t>
    </r>
    <r>
      <rPr>
        <sz val="10"/>
        <rFont val="DejaVu Sans"/>
        <family val="2"/>
      </rPr>
      <t xml:space="preserve">國教行動聯盟新聞稿「國教盟肯定學生輔導法修法符合期待 預期將有助學生心理健</t>
    </r>
    <r>
      <rPr>
        <sz val="10"/>
        <rFont val="Arial"/>
        <family val="0"/>
        <charset val="1"/>
      </rPr>
      <t xml:space="preserve">.docx</t>
    </r>
  </si>
  <si>
    <t xml:space="preserve">2024/08/30</t>
  </si>
  <si>
    <t xml:space="preserve">國教行動聯盟「建請確實檢討少年事件處理暨保護制度」記者會新聞稿</t>
  </si>
  <si>
    <r>
      <rPr>
        <sz val="10"/>
        <rFont val="Arial"/>
        <family val="0"/>
        <charset val="1"/>
      </rPr>
      <t xml:space="preserve">20240830</t>
    </r>
    <r>
      <rPr>
        <sz val="10"/>
        <rFont val="DejaVu Sans"/>
        <family val="2"/>
      </rPr>
      <t xml:space="preserve">國教行動聯盟「建請確實檢討少年事件處理暨保護制度」記者會新聞稿</t>
    </r>
    <r>
      <rPr>
        <sz val="10"/>
        <rFont val="Arial"/>
        <family val="0"/>
        <charset val="1"/>
      </rPr>
      <t xml:space="preserve">.docx</t>
    </r>
  </si>
  <si>
    <t xml:space="preserve">記者會新聞稿二稿</t>
  </si>
  <si>
    <r>
      <rPr>
        <sz val="10"/>
        <rFont val="Arial"/>
        <family val="0"/>
        <charset val="1"/>
      </rPr>
      <t xml:space="preserve">20240830</t>
    </r>
    <r>
      <rPr>
        <sz val="10"/>
        <rFont val="DejaVu Sans"/>
        <family val="2"/>
      </rPr>
      <t xml:space="preserve">記者會新聞稿二稿</t>
    </r>
    <r>
      <rPr>
        <sz val="10"/>
        <rFont val="Arial"/>
        <family val="0"/>
        <charset val="1"/>
      </rPr>
      <t xml:space="preserve">.docx</t>
    </r>
  </si>
  <si>
    <t xml:space="preserve">2024/09/20</t>
  </si>
  <si>
    <t xml:space="preserve">國教行動聯盟「新北割頸案凸顯少保調查官角色衝突」記者會新聞稿</t>
  </si>
  <si>
    <r>
      <rPr>
        <sz val="10"/>
        <rFont val="Arial"/>
        <family val="0"/>
        <charset val="1"/>
      </rPr>
      <t xml:space="preserve">20240920</t>
    </r>
    <r>
      <rPr>
        <sz val="10"/>
        <rFont val="DejaVu Sans"/>
        <family val="2"/>
      </rPr>
      <t xml:space="preserve">國教行動聯盟「新北割頸案凸顯少保調查官角色衝突」記者會新聞稿</t>
    </r>
    <r>
      <rPr>
        <sz val="10"/>
        <rFont val="Arial"/>
        <family val="0"/>
        <charset val="1"/>
      </rPr>
      <t xml:space="preserve">.docx</t>
    </r>
  </si>
  <si>
    <t xml:space="preserve">2024/09/30</t>
  </si>
  <si>
    <t xml:space="preserve">國教行動聯盟「悲劇不是意外，系統早已失靈！ 」陳情行動記者會新聞稿</t>
  </si>
  <si>
    <r>
      <rPr>
        <sz val="10"/>
        <rFont val="Arial"/>
        <family val="0"/>
        <charset val="1"/>
      </rPr>
      <t xml:space="preserve">20240930</t>
    </r>
    <r>
      <rPr>
        <sz val="10"/>
        <rFont val="DejaVu Sans"/>
        <family val="2"/>
      </rPr>
      <t xml:space="preserve">國教行動聯盟「悲劇不是意外，系統早已失靈！ 」陳情行動記者會新聞稿</t>
    </r>
    <r>
      <rPr>
        <sz val="10"/>
        <rFont val="Arial"/>
        <family val="0"/>
        <charset val="1"/>
      </rPr>
      <t xml:space="preserve">.docx</t>
    </r>
  </si>
  <si>
    <t xml:space="preserve">2024/11/22</t>
  </si>
  <si>
    <t xml:space="preserve">國教行動聯盟新聞稿</t>
  </si>
  <si>
    <r>
      <rPr>
        <sz val="10"/>
        <rFont val="Arial"/>
        <family val="0"/>
        <charset val="1"/>
      </rPr>
      <t xml:space="preserve">20241122</t>
    </r>
    <r>
      <rPr>
        <sz val="10"/>
        <rFont val="DejaVu Sans"/>
        <family val="2"/>
      </rPr>
      <t xml:space="preserve">國教行動聯盟新聞稿</t>
    </r>
    <r>
      <rPr>
        <sz val="10"/>
        <rFont val="Arial"/>
        <family val="0"/>
        <charset val="1"/>
      </rPr>
      <t xml:space="preserve">.docx</t>
    </r>
  </si>
  <si>
    <t xml:space="preserve">2025</t>
  </si>
  <si>
    <t xml:space="preserve">2025/01/02</t>
  </si>
  <si>
    <t xml:space="preserve">落實「健康台灣」願景 保障兒童健康未來</t>
  </si>
  <si>
    <t xml:space="preserve">陳情</t>
  </si>
  <si>
    <t xml:space="preserve">教育部、衛福部、行政院</t>
  </si>
  <si>
    <t xml:space="preserve">有</t>
  </si>
  <si>
    <r>
      <rPr>
        <sz val="10"/>
        <rFont val="Arial"/>
        <family val="0"/>
        <charset val="1"/>
      </rPr>
      <t xml:space="preserve">20250102_</t>
    </r>
    <r>
      <rPr>
        <sz val="10"/>
        <rFont val="DejaVu Sans"/>
        <family val="2"/>
      </rPr>
      <t xml:space="preserve">「全國教育團體聯合呼籲應重新啟動生生喝國產乳計畫</t>
    </r>
    <r>
      <rPr>
        <sz val="10"/>
        <rFont val="Arial"/>
        <family val="0"/>
        <charset val="1"/>
      </rPr>
      <t xml:space="preserve">.docx</t>
    </r>
  </si>
  <si>
    <t xml:space="preserve">2025/01/09</t>
  </si>
  <si>
    <t xml:space="preserve">公聽會家長聲音缺席，如何落實兒童最佳利益？</t>
  </si>
  <si>
    <t xml:space="preserve">立法院</t>
  </si>
  <si>
    <r>
      <rPr>
        <sz val="10"/>
        <rFont val="Arial"/>
        <family val="0"/>
        <charset val="1"/>
      </rPr>
      <t xml:space="preserve">20250109_</t>
    </r>
    <r>
      <rPr>
        <sz val="10"/>
        <rFont val="DejaVu Sans"/>
        <family val="2"/>
      </rPr>
      <t xml:space="preserve">公聽會家長聲音缺席如何落實兒童最佳利益</t>
    </r>
    <r>
      <rPr>
        <sz val="10"/>
        <rFont val="Arial"/>
        <family val="0"/>
        <charset val="1"/>
      </rPr>
      <t xml:space="preserve">.docx</t>
    </r>
  </si>
  <si>
    <t xml:space="preserve">2025/01/10</t>
  </si>
  <si>
    <t xml:space="preserve">菸防法修法兩週年 台灣加熱菸、加味菸管制陷入困境！</t>
  </si>
  <si>
    <t xml:space="preserve">衛福部、國健署、立法院</t>
  </si>
  <si>
    <r>
      <rPr>
        <sz val="10"/>
        <rFont val="Arial"/>
        <family val="0"/>
        <charset val="1"/>
      </rPr>
      <t xml:space="preserve">20250110_</t>
    </r>
    <r>
      <rPr>
        <sz val="10"/>
        <rFont val="DejaVu Sans"/>
        <family val="2"/>
      </rPr>
      <t xml:space="preserve">菸防法修法兩週年台灣加熱菸、加味菸管制陷入困境</t>
    </r>
    <r>
      <rPr>
        <sz val="10"/>
        <rFont val="Arial"/>
        <family val="0"/>
        <charset val="1"/>
      </rPr>
      <t xml:space="preserve">.docx</t>
    </r>
  </si>
  <si>
    <t xml:space="preserve">2025/01/13</t>
  </si>
  <si>
    <r>
      <rPr>
        <sz val="10"/>
        <rFont val="DejaVu Sans"/>
        <family val="2"/>
      </rPr>
      <t xml:space="preserve">青少年每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萬人有</t>
    </r>
    <r>
      <rPr>
        <sz val="10"/>
        <rFont val="Arial"/>
        <family val="0"/>
        <charset val="1"/>
      </rPr>
      <t xml:space="preserve">50.34</t>
    </r>
    <r>
      <rPr>
        <sz val="10"/>
        <rFont val="DejaVu Sans"/>
        <family val="2"/>
      </rPr>
      <t xml:space="preserve">人感染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年來淋病暴增七倍</t>
    </r>
  </si>
  <si>
    <t xml:space="preserve">衛福部</t>
  </si>
  <si>
    <r>
      <rPr>
        <sz val="10"/>
        <rFont val="Arial"/>
        <family val="0"/>
        <charset val="1"/>
      </rPr>
      <t xml:space="preserve">20250113_</t>
    </r>
    <r>
      <rPr>
        <sz val="10"/>
        <rFont val="DejaVu Sans"/>
        <family val="2"/>
      </rPr>
      <t xml:space="preserve">青少年每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萬人有</t>
    </r>
    <r>
      <rPr>
        <sz val="10"/>
        <rFont val="Arial"/>
        <family val="0"/>
        <charset val="1"/>
      </rPr>
      <t xml:space="preserve">50.34</t>
    </r>
    <r>
      <rPr>
        <sz val="10"/>
        <rFont val="DejaVu Sans"/>
        <family val="2"/>
      </rPr>
      <t xml:space="preserve">人感染 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年來淋病暴</t>
    </r>
    <r>
      <rPr>
        <sz val="10"/>
        <rFont val="Arial"/>
        <family val="0"/>
        <charset val="1"/>
      </rPr>
      <t xml:space="preserve">.docx</t>
    </r>
  </si>
  <si>
    <t xml:space="preserve">2025/01/15</t>
  </si>
  <si>
    <r>
      <rPr>
        <sz val="10"/>
        <rFont val="DejaVu Sans"/>
        <family val="2"/>
      </rPr>
      <t xml:space="preserve">「優生保健法」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週年 「龍年效應」卻首次失靈</t>
    </r>
  </si>
  <si>
    <r>
      <rPr>
        <sz val="10"/>
        <rFont val="Arial"/>
        <family val="0"/>
        <charset val="1"/>
      </rPr>
      <t xml:space="preserve">20250115_</t>
    </r>
    <r>
      <rPr>
        <sz val="10"/>
        <rFont val="DejaVu Sans"/>
        <family val="2"/>
      </rPr>
      <t xml:space="preserve">台灣懷孕婦女關懷協會「優生保健法</t>
    </r>
    <r>
      <rPr>
        <sz val="10"/>
        <rFont val="Arial"/>
        <family val="0"/>
        <charset val="1"/>
      </rPr>
      <t xml:space="preserve">40</t>
    </r>
    <r>
      <rPr>
        <sz val="10"/>
        <rFont val="DejaVu Sans"/>
        <family val="2"/>
      </rPr>
      <t xml:space="preserve">週年 龍年效應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</si>
  <si>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青少女梅毒病例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年增長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倍，性病低齡化問題浮現</t>
    </r>
  </si>
  <si>
    <t xml:space="preserve">教育部、衛福部、立法院</t>
  </si>
  <si>
    <r>
      <rPr>
        <sz val="10"/>
        <rFont val="Arial"/>
        <family val="0"/>
        <charset val="1"/>
      </rPr>
      <t xml:space="preserve">20250115_</t>
    </r>
    <r>
      <rPr>
        <sz val="10"/>
        <rFont val="DejaVu Sans"/>
        <family val="2"/>
      </rPr>
      <t xml:space="preserve">青少女梅毒成長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</t>
    </r>
    <r>
      <rPr>
        <sz val="10"/>
        <rFont val="Arial"/>
        <family val="0"/>
        <charset val="1"/>
      </rPr>
      <t xml:space="preserve">.docx</t>
    </r>
  </si>
  <si>
    <t xml:space="preserve">2025/01/17</t>
  </si>
  <si>
    <t xml:space="preserve">小學三年級染性病是怎麼回事？</t>
  </si>
  <si>
    <t xml:space="preserve">教育部、衛福部</t>
  </si>
  <si>
    <r>
      <rPr>
        <sz val="10"/>
        <rFont val="Arial"/>
        <family val="0"/>
        <charset val="1"/>
      </rPr>
      <t xml:space="preserve">20250117_</t>
    </r>
    <r>
      <rPr>
        <sz val="10"/>
        <rFont val="DejaVu Sans"/>
        <family val="2"/>
      </rPr>
      <t xml:space="preserve">小學三年級染性病是怎麼回事</t>
    </r>
    <r>
      <rPr>
        <sz val="10"/>
        <rFont val="Arial"/>
        <family val="0"/>
        <charset val="1"/>
      </rPr>
      <t xml:space="preserve">.docx</t>
    </r>
  </si>
  <si>
    <t xml:space="preserve">2025/01/20</t>
  </si>
  <si>
    <t xml:space="preserve">台灣性教育學會、華人情感教育發展協會、國教行動聯盟</t>
  </si>
  <si>
    <t xml:space="preserve">衛福部、立法院</t>
  </si>
  <si>
    <r>
      <rPr>
        <sz val="10"/>
        <rFont val="Arial"/>
        <family val="0"/>
        <charset val="1"/>
      </rPr>
      <t xml:space="preserve">20250120_2024</t>
    </r>
    <r>
      <rPr>
        <sz val="10"/>
        <rFont val="DejaVu Sans"/>
        <family val="2"/>
      </rPr>
      <t xml:space="preserve">台灣十大性與情感教育新聞事件</t>
    </r>
    <r>
      <rPr>
        <sz val="10"/>
        <rFont val="Arial"/>
        <family val="0"/>
        <charset val="1"/>
      </rPr>
      <t xml:space="preserve">.docx</t>
    </r>
  </si>
  <si>
    <t xml:space="preserve">2025/01/21</t>
  </si>
  <si>
    <r>
      <rPr>
        <sz val="10"/>
        <rFont val="DejaVu Sans"/>
        <family val="2"/>
      </rPr>
      <t xml:space="preserve">全台首次！</t>
    </r>
    <r>
      <rPr>
        <sz val="10"/>
        <rFont val="Arial"/>
        <family val="0"/>
        <charset val="1"/>
      </rPr>
      <t xml:space="preserve">8743</t>
    </r>
    <r>
      <rPr>
        <sz val="10"/>
        <rFont val="DejaVu Sans"/>
        <family val="2"/>
      </rPr>
      <t xml:space="preserve">份問卷揭示「這世代的心聲」</t>
    </r>
    <r>
      <rPr>
        <sz val="10"/>
        <rFont val="Arial"/>
        <family val="0"/>
        <charset val="1"/>
      </rPr>
      <t xml:space="preserve">!</t>
    </r>
  </si>
  <si>
    <t xml:space="preserve">青年參與</t>
  </si>
  <si>
    <r>
      <rPr>
        <sz val="10"/>
        <rFont val="Arial"/>
        <family val="0"/>
        <charset val="1"/>
      </rPr>
      <t xml:space="preserve">20250121_</t>
    </r>
    <r>
      <rPr>
        <sz val="10"/>
        <rFont val="DejaVu Sans"/>
        <family val="2"/>
      </rPr>
      <t xml:space="preserve">全台首次</t>
    </r>
    <r>
      <rPr>
        <sz val="10"/>
        <rFont val="Arial"/>
        <family val="0"/>
        <charset val="1"/>
      </rPr>
      <t xml:space="preserve">8743</t>
    </r>
    <r>
      <rPr>
        <sz val="10"/>
        <rFont val="DejaVu Sans"/>
        <family val="2"/>
      </rPr>
      <t xml:space="preserve">份問卷揭示這世代的心聲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</si>
  <si>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全台首次！？「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臺灣青少年最關心的十大議題」震撼揭曉———改變，從傾聽開始</t>
    </r>
  </si>
  <si>
    <r>
      <rPr>
        <sz val="10"/>
        <rFont val="Arial"/>
        <family val="0"/>
        <charset val="1"/>
      </rPr>
      <t xml:space="preserve">20250121_</t>
    </r>
    <r>
      <rPr>
        <sz val="10"/>
        <rFont val="DejaVu Sans"/>
        <family val="2"/>
      </rPr>
      <t xml:space="preserve">青少年最關心的十大議題</t>
    </r>
    <r>
      <rPr>
        <sz val="10"/>
        <rFont val="Arial"/>
        <family val="0"/>
        <charset val="1"/>
      </rPr>
      <t xml:space="preserve">.docx</t>
    </r>
  </si>
  <si>
    <t xml:space="preserve">2025/01/26</t>
  </si>
  <si>
    <t xml:space="preserve">年節出國帶加熱菸回台 自用送禮代購都違法</t>
  </si>
  <si>
    <r>
      <rPr>
        <sz val="10"/>
        <rFont val="Arial"/>
        <family val="0"/>
        <charset val="1"/>
      </rPr>
      <t xml:space="preserve">20250126_</t>
    </r>
    <r>
      <rPr>
        <sz val="10"/>
        <rFont val="DejaVu Sans"/>
        <family val="2"/>
      </rPr>
      <t xml:space="preserve">年節出國帶加熱菸回台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自用送禮代購都違法</t>
    </r>
    <r>
      <rPr>
        <sz val="10"/>
        <rFont val="Arial"/>
        <family val="0"/>
        <charset val="1"/>
      </rPr>
      <t xml:space="preserve">.docx</t>
    </r>
  </si>
  <si>
    <t xml:space="preserve">2025/02/13</t>
  </si>
  <si>
    <t xml:space="preserve">徒法不足以自行 兒少權法修法恐適得其反？</t>
  </si>
  <si>
    <t xml:space="preserve">法務部、立法院</t>
  </si>
  <si>
    <r>
      <rPr>
        <sz val="10"/>
        <rFont val="Arial"/>
        <family val="0"/>
        <charset val="1"/>
      </rPr>
      <t xml:space="preserve">20250213_</t>
    </r>
    <r>
      <rPr>
        <sz val="10"/>
        <rFont val="DejaVu Sans"/>
        <family val="2"/>
      </rPr>
      <t xml:space="preserve">徒法不足以自行兒少權法修法恐適得其反</t>
    </r>
    <r>
      <rPr>
        <sz val="10"/>
        <rFont val="Arial"/>
        <family val="0"/>
        <charset val="1"/>
      </rPr>
      <t xml:space="preserve">.docx</t>
    </r>
  </si>
  <si>
    <t xml:space="preserve">2025/02/20</t>
  </si>
  <si>
    <t xml:space="preserve">兒少權修法應具體回應青少年需求</t>
  </si>
  <si>
    <t xml:space="preserve">教育部、立法院</t>
  </si>
  <si>
    <r>
      <rPr>
        <sz val="10"/>
        <rFont val="Arial"/>
        <family val="0"/>
        <charset val="1"/>
      </rPr>
      <t xml:space="preserve">20250220_</t>
    </r>
    <r>
      <rPr>
        <sz val="10"/>
        <rFont val="DejaVu Sans"/>
        <family val="2"/>
      </rPr>
      <t xml:space="preserve">兒少權修法應具體回應青少年需求</t>
    </r>
    <r>
      <rPr>
        <sz val="10"/>
        <rFont val="Arial"/>
        <family val="0"/>
        <charset val="1"/>
      </rPr>
      <t xml:space="preserve">.docx</t>
    </r>
  </si>
  <si>
    <t xml:space="preserve">2025/03/06</t>
  </si>
  <si>
    <t xml:space="preserve">電子煙修法仍存漏洞 校園喪屍煙彈難擋</t>
  </si>
  <si>
    <t xml:space="preserve">衛福部、行政院</t>
  </si>
  <si>
    <r>
      <rPr>
        <sz val="10"/>
        <rFont val="Arial"/>
        <family val="0"/>
        <charset val="1"/>
      </rPr>
      <t xml:space="preserve">20250306_</t>
    </r>
    <r>
      <rPr>
        <sz val="10"/>
        <rFont val="DejaVu Sans"/>
        <family val="2"/>
      </rPr>
      <t xml:space="preserve">電子煙修法仍存漏洞校園喪屍煙彈難擋</t>
    </r>
    <r>
      <rPr>
        <sz val="10"/>
        <rFont val="Arial"/>
        <family val="0"/>
        <charset val="1"/>
      </rPr>
      <t xml:space="preserve">.docx</t>
    </r>
  </si>
  <si>
    <t xml:space="preserve">2025/03/07</t>
  </si>
  <si>
    <r>
      <rPr>
        <sz val="10"/>
        <rFont val="DejaVu Sans"/>
        <family val="2"/>
      </rPr>
      <t xml:space="preserve">「青少女梅毒成長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倍、淋病暴增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倍，政府還想開放事後避孕藥？」</t>
    </r>
  </si>
  <si>
    <r>
      <rPr>
        <sz val="10"/>
        <rFont val="Arial"/>
        <family val="0"/>
        <charset val="1"/>
      </rPr>
      <t xml:space="preserve">20250307_</t>
    </r>
    <r>
      <rPr>
        <sz val="10"/>
        <rFont val="DejaVu Sans"/>
        <family val="2"/>
      </rPr>
      <t xml:space="preserve">青少女梅毒成長</t>
    </r>
    <r>
      <rPr>
        <sz val="10"/>
        <rFont val="Arial"/>
        <family val="0"/>
        <charset val="1"/>
      </rPr>
      <t xml:space="preserve">53</t>
    </r>
    <r>
      <rPr>
        <sz val="10"/>
        <rFont val="DejaVu Sans"/>
        <family val="2"/>
      </rPr>
      <t xml:space="preserve">倍、淋病暴增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倍政府還想開放</t>
    </r>
    <r>
      <rPr>
        <sz val="10"/>
        <rFont val="Arial"/>
        <family val="0"/>
        <charset val="1"/>
      </rPr>
      <t xml:space="preserve">.docx</t>
    </r>
  </si>
  <si>
    <r>
      <rPr>
        <sz val="10"/>
        <rFont val="DejaVu Sans"/>
        <family val="2"/>
      </rPr>
      <t xml:space="preserve">會後照片及資料：</t>
    </r>
    <r>
      <rPr>
        <sz val="10"/>
        <rFont val="Arial"/>
        <family val="0"/>
        <charset val="1"/>
      </rPr>
      <t xml:space="preserve">https://reurl.cc/RerXgG</t>
    </r>
  </si>
  <si>
    <t xml:space="preserve">衛福部、國健署、行政院</t>
  </si>
  <si>
    <r>
      <rPr>
        <sz val="10"/>
        <rFont val="Arial"/>
        <family val="0"/>
        <charset val="1"/>
      </rPr>
      <t xml:space="preserve">20250307_</t>
    </r>
    <r>
      <rPr>
        <sz val="10"/>
        <rFont val="DejaVu Sans"/>
        <family val="2"/>
      </rPr>
      <t xml:space="preserve">台灣拒菸聯盟</t>
    </r>
    <r>
      <rPr>
        <sz val="10"/>
        <rFont val="Arial"/>
        <family val="0"/>
        <charset val="1"/>
      </rPr>
      <t xml:space="preserve">.docx</t>
    </r>
  </si>
  <si>
    <t xml:space="preserve">2025/03/17</t>
  </si>
  <si>
    <r>
      <rPr>
        <sz val="10"/>
        <rFont val="DejaVu Sans"/>
        <family val="2"/>
      </rPr>
      <t xml:space="preserve">情緒障礙飆升</t>
    </r>
    <r>
      <rPr>
        <sz val="10"/>
        <rFont val="Arial"/>
        <family val="0"/>
        <charset val="1"/>
      </rPr>
      <t xml:space="preserve">41%</t>
    </r>
    <r>
      <rPr>
        <sz val="10"/>
        <rFont val="DejaVu Sans"/>
        <family val="2"/>
      </rPr>
      <t xml:space="preserve">！國教盟籲校園手機使用聚焦內容管理、培養學生數位韌性</t>
    </r>
  </si>
  <si>
    <r>
      <rPr>
        <sz val="10"/>
        <rFont val="Arial"/>
        <family val="0"/>
        <charset val="1"/>
      </rPr>
      <t xml:space="preserve">20250317_</t>
    </r>
    <r>
      <rPr>
        <sz val="10"/>
        <rFont val="DejaVu Sans"/>
        <family val="2"/>
      </rPr>
      <t xml:space="preserve">情緒障礙飆升</t>
    </r>
    <r>
      <rPr>
        <sz val="10"/>
        <rFont val="Arial"/>
        <family val="0"/>
        <charset val="1"/>
      </rPr>
      <t xml:space="preserve">41%</t>
    </r>
    <r>
      <rPr>
        <sz val="10"/>
        <rFont val="DejaVu Sans"/>
        <family val="2"/>
      </rPr>
      <t xml:space="preserve">國教盟籲校園手機使用聚焦內容管</t>
    </r>
    <r>
      <rPr>
        <sz val="10"/>
        <rFont val="Arial"/>
        <family val="0"/>
        <charset val="1"/>
      </rPr>
      <t xml:space="preserve">.docx</t>
    </r>
  </si>
  <si>
    <t xml:space="preserve">2025/03/24</t>
  </si>
  <si>
    <t xml:space="preserve">早療通報再創新高 療育量能遠遠不足</t>
  </si>
  <si>
    <t xml:space="preserve">早期療育</t>
  </si>
  <si>
    <r>
      <rPr>
        <sz val="10"/>
        <rFont val="Arial"/>
        <family val="0"/>
        <charset val="1"/>
      </rPr>
      <t xml:space="preserve">20250324_</t>
    </r>
    <r>
      <rPr>
        <sz val="10"/>
        <rFont val="DejaVu Sans"/>
        <family val="2"/>
      </rPr>
      <t xml:space="preserve">早療通報再創新高療育量能遠遠不足</t>
    </r>
    <r>
      <rPr>
        <sz val="10"/>
        <rFont val="Arial"/>
        <family val="0"/>
        <charset val="1"/>
      </rPr>
      <t xml:space="preserve">.docx</t>
    </r>
  </si>
  <si>
    <t xml:space="preserve">2025/04/23</t>
  </si>
  <si>
    <r>
      <rPr>
        <sz val="10"/>
        <rFont val="DejaVu Sans"/>
        <family val="2"/>
      </rPr>
      <t xml:space="preserve">「</t>
    </r>
    <r>
      <rPr>
        <sz val="10"/>
        <rFont val="Arial"/>
        <family val="0"/>
        <charset val="1"/>
      </rPr>
      <t xml:space="preserve">423</t>
    </r>
    <r>
      <rPr>
        <sz val="10"/>
        <rFont val="DejaVu Sans"/>
        <family val="2"/>
      </rPr>
      <t xml:space="preserve">嬰兒 兒童 青少年 精神衛生日」</t>
    </r>
  </si>
  <si>
    <t xml:space="preserve">教育部、衛福部、國健署</t>
  </si>
  <si>
    <r>
      <rPr>
        <sz val="10"/>
        <rFont val="Arial"/>
        <family val="0"/>
        <charset val="1"/>
      </rPr>
      <t xml:space="preserve">20250423_423</t>
    </r>
    <r>
      <rPr>
        <sz val="10"/>
        <rFont val="DejaVu Sans"/>
        <family val="2"/>
      </rPr>
      <t xml:space="preserve">嬰兒 兒童 青少年 精神健康日」國教行動聯盟</t>
    </r>
    <r>
      <rPr>
        <sz val="10"/>
        <rFont val="Arial"/>
        <family val="0"/>
        <charset val="1"/>
      </rPr>
      <t xml:space="preserve">.docx</t>
    </r>
  </si>
  <si>
    <t xml:space="preserve">2025/04/24</t>
  </si>
  <si>
    <t xml:space="preserve">青少年說：我們不想再被毒駕撞傷！</t>
  </si>
  <si>
    <r>
      <rPr>
        <sz val="10"/>
        <rFont val="Arial"/>
        <family val="0"/>
        <charset val="1"/>
      </rPr>
      <t xml:space="preserve">20250424_</t>
    </r>
    <r>
      <rPr>
        <sz val="10"/>
        <rFont val="DejaVu Sans"/>
        <family val="2"/>
      </rPr>
      <t xml:space="preserve">青年部康橋事件</t>
    </r>
    <r>
      <rPr>
        <sz val="10"/>
        <rFont val="Arial"/>
        <family val="0"/>
        <charset val="1"/>
      </rPr>
      <t xml:space="preserve">.docx</t>
    </r>
  </si>
  <si>
    <t xml:space="preserve">2025/04/30</t>
  </si>
  <si>
    <t xml:space="preserve">『看見不同，孩子的未來不是病名』</t>
  </si>
  <si>
    <r>
      <rPr>
        <sz val="10"/>
        <rFont val="Arial"/>
        <family val="0"/>
        <charset val="1"/>
      </rPr>
      <t xml:space="preserve">20250430_</t>
    </r>
    <r>
      <rPr>
        <sz val="10"/>
        <rFont val="DejaVu Sans"/>
        <family val="2"/>
      </rPr>
      <t xml:space="preserve">看見不同孩子的未來不是病名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</si>
  <si>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20250430_</t>
    </r>
    <r>
      <rPr>
        <sz val="10"/>
        <rFont val="DejaVu Sans"/>
        <family val="2"/>
      </rPr>
      <t xml:space="preserve">看見孩子不同的需要</t>
    </r>
    <r>
      <rPr>
        <sz val="10"/>
        <rFont val="Arial"/>
        <family val="0"/>
        <charset val="1"/>
      </rPr>
      <t xml:space="preserve">.docx</t>
    </r>
  </si>
  <si>
    <t xml:space="preserve">2025/05/14</t>
  </si>
  <si>
    <t xml:space="preserve">共同跨域網絡守護青少年身心與數位健康</t>
  </si>
  <si>
    <t xml:space="preserve">教育部</t>
  </si>
  <si>
    <r>
      <rPr>
        <sz val="10"/>
        <rFont val="Arial"/>
        <family val="0"/>
        <charset val="1"/>
      </rPr>
      <t xml:space="preserve">20250514_</t>
    </r>
    <r>
      <rPr>
        <sz val="10"/>
        <rFont val="DejaVu Sans"/>
        <family val="2"/>
      </rPr>
      <t xml:space="preserve">共同跨域網絡守護青少年身心與數位健康</t>
    </r>
    <r>
      <rPr>
        <sz val="10"/>
        <rFont val="Arial"/>
        <family val="0"/>
        <charset val="1"/>
      </rPr>
      <t xml:space="preserve">.docx</t>
    </r>
  </si>
  <si>
    <t xml:space="preserve">2025/05/22</t>
  </si>
  <si>
    <r>
      <rPr>
        <sz val="10"/>
        <rFont val="Arial"/>
        <family val="0"/>
        <charset val="1"/>
      </rPr>
      <t xml:space="preserve">92%</t>
    </r>
    <r>
      <rPr>
        <sz val="10"/>
        <rFont val="DejaVu Sans"/>
        <family val="2"/>
      </rPr>
      <t xml:space="preserve">民意怒吼、每年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幼童枉死！國教盟揭</t>
    </r>
    <r>
      <rPr>
        <sz val="10"/>
        <rFont val="Arial"/>
        <family val="0"/>
        <charset val="1"/>
      </rPr>
      <t xml:space="preserve">8,700</t>
    </r>
    <r>
      <rPr>
        <sz val="10"/>
        <rFont val="DejaVu Sans"/>
        <family val="2"/>
      </rPr>
      <t xml:space="preserve">份調查 籲修法『終身監禁不得假釋＋強制治療』</t>
    </r>
  </si>
  <si>
    <r>
      <rPr>
        <sz val="10"/>
        <rFont val="Arial"/>
        <family val="0"/>
        <charset val="1"/>
      </rPr>
      <t xml:space="preserve">20250522_</t>
    </r>
    <r>
      <rPr>
        <sz val="10"/>
        <rFont val="DejaVu Sans"/>
        <family val="2"/>
      </rPr>
      <t xml:space="preserve">兒虐修法終身監禁不得假釋</t>
    </r>
    <r>
      <rPr>
        <sz val="10"/>
        <rFont val="Arial"/>
        <family val="0"/>
        <charset val="1"/>
      </rPr>
      <t xml:space="preserve">.docx</t>
    </r>
  </si>
  <si>
    <t xml:space="preserve">2025/05/26</t>
  </si>
  <si>
    <r>
      <rPr>
        <sz val="10"/>
        <rFont val="DejaVu Sans"/>
        <family val="2"/>
      </rPr>
      <t xml:space="preserve">世界無菸日 青年行動劇揭露「菸商最常用的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大行銷伎倆」</t>
    </r>
    <r>
      <rPr>
        <sz val="10"/>
        <rFont val="Arial"/>
        <family val="0"/>
        <charset val="1"/>
      </rPr>
      <t xml:space="preserve">!</t>
    </r>
  </si>
  <si>
    <t xml:space="preserve">國健署</t>
  </si>
  <si>
    <r>
      <rPr>
        <sz val="10"/>
        <rFont val="Arial"/>
        <family val="0"/>
        <charset val="1"/>
      </rPr>
      <t xml:space="preserve">20250526_</t>
    </r>
    <r>
      <rPr>
        <sz val="10"/>
        <rFont val="DejaVu Sans"/>
        <family val="2"/>
      </rPr>
      <t xml:space="preserve">世界無菸日青年行動劇揭露菸商最常用的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大行銷伎</t>
    </r>
    <r>
      <rPr>
        <sz val="10"/>
        <rFont val="Arial"/>
        <family val="0"/>
        <charset val="1"/>
      </rPr>
      <t xml:space="preserve">.docx</t>
    </r>
  </si>
  <si>
    <t xml:space="preserve">2025/05/29</t>
  </si>
  <si>
    <t xml:space="preserve">健康促進學校邊緣化性健康 造成青少年性病飆升</t>
  </si>
  <si>
    <r>
      <rPr>
        <sz val="10"/>
        <rFont val="Arial"/>
        <family val="0"/>
        <charset val="1"/>
      </rPr>
      <t xml:space="preserve">20250529_</t>
    </r>
    <r>
      <rPr>
        <sz val="10"/>
        <rFont val="DejaVu Sans"/>
        <family val="2"/>
      </rPr>
      <t xml:space="preserve">健康促進學校邊緣化性健康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正式版</t>
    </r>
    <r>
      <rPr>
        <sz val="10"/>
        <rFont val="Arial"/>
        <family val="0"/>
        <charset val="1"/>
      </rPr>
      <t xml:space="preserve">.docx</t>
    </r>
  </si>
  <si>
    <t xml:space="preserve">2025/06/02</t>
  </si>
  <si>
    <t xml:space="preserve">國際七國專家齊聚聚焦毒品危機</t>
  </si>
  <si>
    <r>
      <rPr>
        <sz val="10"/>
        <rFont val="Arial"/>
        <family val="0"/>
        <charset val="1"/>
      </rPr>
      <t xml:space="preserve">20250602_</t>
    </r>
    <r>
      <rPr>
        <sz val="10"/>
        <rFont val="DejaVu Sans"/>
        <family val="2"/>
      </rPr>
      <t xml:space="preserve">國際七國專家齊聚聚焦毒品危機</t>
    </r>
    <r>
      <rPr>
        <sz val="10"/>
        <rFont val="Arial"/>
        <family val="0"/>
        <charset val="1"/>
      </rPr>
      <t xml:space="preserve">.docx</t>
    </r>
  </si>
  <si>
    <t xml:space="preserve">2025/06/03</t>
  </si>
  <si>
    <t xml:space="preserve">七國專家聚焦毒品危機 大麻與依托咪酯威脅台灣青少年</t>
  </si>
  <si>
    <r>
      <rPr>
        <sz val="10"/>
        <rFont val="Arial"/>
        <family val="0"/>
        <charset val="1"/>
      </rPr>
      <t xml:space="preserve">20250603_</t>
    </r>
    <r>
      <rPr>
        <sz val="10"/>
        <rFont val="DejaVu Sans"/>
        <family val="2"/>
      </rPr>
      <t xml:space="preserve">七國專家聚焦毒品危機大麻與依托咪酯威脅台灣青少年</t>
    </r>
    <r>
      <rPr>
        <sz val="10"/>
        <rFont val="Arial"/>
        <family val="0"/>
        <charset val="1"/>
      </rPr>
      <t xml:space="preserve">.docx</t>
    </r>
  </si>
  <si>
    <t xml:space="preserve">2025/06/05</t>
  </si>
  <si>
    <t xml:space="preserve">學習歷程採計不該成為考驗信任的軍備競賽！</t>
  </si>
  <si>
    <r>
      <rPr>
        <sz val="10"/>
        <rFont val="Arial"/>
        <family val="0"/>
        <charset val="1"/>
      </rPr>
      <t xml:space="preserve">20250605_</t>
    </r>
    <r>
      <rPr>
        <sz val="10"/>
        <rFont val="DejaVu Sans"/>
        <family val="2"/>
      </rPr>
      <t xml:space="preserve">學習歷程採計不該成為軍備競賽</t>
    </r>
    <r>
      <rPr>
        <sz val="10"/>
        <rFont val="Arial"/>
        <family val="0"/>
        <charset val="1"/>
      </rPr>
      <t xml:space="preserve">.docx</t>
    </r>
  </si>
  <si>
    <t xml:space="preserve">2025/06/21</t>
  </si>
  <si>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台灣青少年神經多樣性生活導師國際研討會登場</t>
    </r>
    <r>
      <rPr>
        <sz val="10"/>
        <rFont val="Arial"/>
        <family val="0"/>
        <charset val="1"/>
      </rPr>
      <t xml:space="preserve">
</t>
    </r>
    <r>
      <rPr>
        <sz val="10"/>
        <rFont val="DejaVu Sans"/>
        <family val="2"/>
      </rPr>
      <t xml:space="preserve">從理解到實踐，創造台灣在地的青少年神經多樣性支持制度</t>
    </r>
  </si>
  <si>
    <t xml:space="preserve">論壇</t>
  </si>
  <si>
    <r>
      <rPr>
        <sz val="10"/>
        <rFont val="Arial"/>
        <family val="0"/>
        <charset val="1"/>
      </rPr>
      <t xml:space="preserve">20250621_</t>
    </r>
    <r>
      <rPr>
        <sz val="10"/>
        <rFont val="DejaVu Sans"/>
        <family val="2"/>
      </rPr>
      <t xml:space="preserve">台灣青少年神經多樣性國際研討會</t>
    </r>
    <r>
      <rPr>
        <sz val="10"/>
        <rFont val="Arial"/>
        <family val="0"/>
        <charset val="1"/>
      </rPr>
      <t xml:space="preserve">.docx</t>
    </r>
  </si>
  <si>
    <t xml:space="preserve">2025/07/11</t>
  </si>
  <si>
    <t xml:space="preserve">構築未來：打造「兒少家庭部」 跨部治理與政策整合藍圖 論壇</t>
  </si>
  <si>
    <r>
      <rPr>
        <sz val="10"/>
        <rFont val="Arial"/>
        <family val="0"/>
        <charset val="1"/>
      </rPr>
      <t xml:space="preserve">20250711_</t>
    </r>
    <r>
      <rPr>
        <sz val="10"/>
        <rFont val="DejaVu Sans"/>
        <family val="2"/>
      </rPr>
      <t xml:space="preserve">打造「兒少家庭部」藍圖論壇</t>
    </r>
    <r>
      <rPr>
        <sz val="10"/>
        <rFont val="Arial"/>
        <family val="0"/>
        <charset val="1"/>
      </rPr>
      <t xml:space="preserve">.docx</t>
    </r>
  </si>
  <si>
    <t xml:space="preserve">2025/07/23</t>
  </si>
  <si>
    <t xml:space="preserve">逾八成愛奇兒暑期學習斷線</t>
  </si>
  <si>
    <r>
      <rPr>
        <sz val="10"/>
        <rFont val="Arial"/>
        <family val="0"/>
        <charset val="1"/>
      </rPr>
      <t xml:space="preserve">20250723_</t>
    </r>
    <r>
      <rPr>
        <sz val="10"/>
        <rFont val="DejaVu Sans"/>
        <family val="2"/>
      </rPr>
      <t xml:space="preserve">逾八成愛奇兒暑期學習斷線</t>
    </r>
    <r>
      <rPr>
        <sz val="10"/>
        <rFont val="Arial"/>
        <family val="0"/>
        <charset val="1"/>
      </rPr>
      <t xml:space="preserve">.docx</t>
    </r>
  </si>
  <si>
    <t xml:space="preserve">2025/07/31</t>
  </si>
  <si>
    <r>
      <rPr>
        <sz val="10"/>
        <rFont val="DejaVu Sans"/>
        <family val="2"/>
      </rPr>
      <t xml:space="preserve">沒有暑假的未成年（兒少）照顧者—</t>
    </r>
    <r>
      <rPr>
        <sz val="10"/>
        <rFont val="Arial"/>
        <family val="0"/>
        <charset val="1"/>
      </rPr>
      <t xml:space="preserve">3%</t>
    </r>
    <r>
      <rPr>
        <sz val="10"/>
        <rFont val="DejaVu Sans"/>
        <family val="2"/>
      </rPr>
      <t xml:space="preserve">孩子獨力照顧、</t>
    </r>
    <r>
      <rPr>
        <sz val="10"/>
        <rFont val="Arial"/>
        <family val="0"/>
        <charset val="1"/>
      </rPr>
      <t xml:space="preserve">82%</t>
    </r>
    <r>
      <rPr>
        <sz val="10"/>
        <rFont val="DejaVu Sans"/>
        <family val="2"/>
      </rPr>
      <t xml:space="preserve">感孤單，教育部衛福部須即刻行動</t>
    </r>
  </si>
  <si>
    <r>
      <rPr>
        <sz val="10"/>
        <rFont val="Arial"/>
        <family val="0"/>
        <charset val="1"/>
      </rPr>
      <t xml:space="preserve">20250731_</t>
    </r>
    <r>
      <rPr>
        <sz val="10"/>
        <rFont val="DejaVu Sans"/>
        <family val="2"/>
      </rPr>
      <t xml:space="preserve">沒有暑假的未成年兒少照顧者—</t>
    </r>
    <r>
      <rPr>
        <sz val="10"/>
        <rFont val="Arial"/>
        <family val="0"/>
        <charset val="1"/>
      </rPr>
      <t xml:space="preserve">3%</t>
    </r>
    <r>
      <rPr>
        <sz val="10"/>
        <rFont val="DejaVu Sans"/>
        <family val="2"/>
      </rPr>
      <t xml:space="preserve">孩子獨力照顧、</t>
    </r>
    <r>
      <rPr>
        <sz val="10"/>
        <rFont val="Arial"/>
        <family val="0"/>
        <charset val="1"/>
      </rPr>
      <t xml:space="preserve">.docx</t>
    </r>
  </si>
  <si>
    <t xml:space="preserve">2025/08/18</t>
  </si>
  <si>
    <r>
      <rPr>
        <sz val="10"/>
        <rFont val="Arial"/>
        <family val="0"/>
        <charset val="1"/>
      </rPr>
      <t xml:space="preserve">Google</t>
    </r>
    <r>
      <rPr>
        <sz val="10"/>
        <rFont val="DejaVu Sans"/>
        <family val="2"/>
      </rPr>
      <t xml:space="preserve">加熱菸到處廣告都可買？！</t>
    </r>
  </si>
  <si>
    <t xml:space="preserve">衛福部、國健署</t>
  </si>
  <si>
    <r>
      <rPr>
        <sz val="10"/>
        <rFont val="Arial"/>
        <family val="0"/>
        <charset val="1"/>
      </rPr>
      <t xml:space="preserve">20250818_20250818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.docx</t>
    </r>
  </si>
  <si>
    <t xml:space="preserve">2025/08/19</t>
  </si>
  <si>
    <r>
      <rPr>
        <sz val="10"/>
        <rFont val="DejaVu Sans"/>
        <family val="2"/>
      </rPr>
      <t xml:space="preserve">從「精液豆漿」到「偽</t>
    </r>
    <r>
      <rPr>
        <sz val="10"/>
        <rFont val="Arial"/>
        <family val="0"/>
        <charset val="1"/>
      </rPr>
      <t xml:space="preserve">CSE</t>
    </r>
    <r>
      <rPr>
        <sz val="10"/>
        <rFont val="DejaVu Sans"/>
        <family val="2"/>
      </rPr>
      <t xml:space="preserve">」：教育部開學前把風險帶進教室？</t>
    </r>
  </si>
  <si>
    <r>
      <rPr>
        <sz val="10"/>
        <rFont val="Arial"/>
        <family val="0"/>
        <charset val="1"/>
      </rPr>
      <t xml:space="preserve">20250819_</t>
    </r>
    <r>
      <rPr>
        <sz val="10"/>
        <rFont val="DejaVu Sans"/>
        <family val="2"/>
      </rPr>
      <t xml:space="preserve">從精液豆漿到偽</t>
    </r>
    <r>
      <rPr>
        <sz val="10"/>
        <rFont val="Arial"/>
        <family val="0"/>
        <charset val="1"/>
      </rPr>
      <t xml:space="preserve">CSE</t>
    </r>
    <r>
      <rPr>
        <sz val="10"/>
        <rFont val="DejaVu Sans"/>
        <family val="2"/>
      </rPr>
      <t xml:space="preserve">教育部開學前把風險帶</t>
    </r>
    <r>
      <rPr>
        <sz val="10"/>
        <rFont val="Arial"/>
        <family val="0"/>
        <charset val="1"/>
      </rPr>
      <t xml:space="preserve">.docx</t>
    </r>
  </si>
  <si>
    <t xml:space="preserve">2025/08/26</t>
  </si>
  <si>
    <r>
      <rPr>
        <sz val="10"/>
        <rFont val="DejaVu Sans"/>
        <family val="2"/>
      </rPr>
      <t xml:space="preserve">主動聆聽值得肯定—被慰留後的教育部長</t>
    </r>
    <r>
      <rPr>
        <sz val="10"/>
        <rFont val="Arial"/>
        <family val="0"/>
        <charset val="1"/>
      </rPr>
      <t xml:space="preserve">2.0</t>
    </r>
    <r>
      <rPr>
        <sz val="10"/>
        <rFont val="DejaVu Sans"/>
        <family val="2"/>
      </rPr>
      <t xml:space="preserve">是否決心改變？</t>
    </r>
  </si>
  <si>
    <t xml:space="preserve">座談會</t>
  </si>
  <si>
    <r>
      <rPr>
        <sz val="10"/>
        <rFont val="Arial"/>
        <family val="0"/>
        <charset val="1"/>
      </rPr>
      <t xml:space="preserve">20250826_</t>
    </r>
    <r>
      <rPr>
        <sz val="10"/>
        <rFont val="DejaVu Sans"/>
        <family val="2"/>
      </rPr>
      <t xml:space="preserve">主動聆聽值得肯定—被慰留後的教育部長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是否決心</t>
    </r>
    <r>
      <rPr>
        <sz val="10"/>
        <rFont val="Arial"/>
        <family val="0"/>
        <charset val="1"/>
      </rPr>
      <t xml:space="preserve">.docx</t>
    </r>
  </si>
  <si>
    <t xml:space="preserve">2025/08/28</t>
  </si>
  <si>
    <r>
      <rPr>
        <sz val="10"/>
        <rFont val="DejaVu Sans"/>
        <family val="2"/>
      </rPr>
      <t xml:space="preserve">「務實、傾聽」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對新內閣閣員提出三點期待</t>
    </r>
  </si>
  <si>
    <r>
      <rPr>
        <sz val="10"/>
        <rFont val="Arial"/>
        <family val="0"/>
        <charset val="1"/>
      </rPr>
      <t xml:space="preserve">20250828_</t>
    </r>
    <r>
      <rPr>
        <sz val="10"/>
        <rFont val="DejaVu Sans"/>
        <family val="2"/>
      </rPr>
      <t xml:space="preserve">務實、傾聽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對新內閣閣員提出三點期待</t>
    </r>
    <r>
      <rPr>
        <sz val="10"/>
        <rFont val="Arial"/>
        <family val="0"/>
        <charset val="1"/>
      </rPr>
      <t xml:space="preserve">.docx</t>
    </r>
  </si>
  <si>
    <t xml:space="preserve">2025/09/15</t>
  </si>
  <si>
    <t xml:space="preserve">「延後上學不能只改鐘點」：國教盟主張以課綱、配套與家長需求一併檢討</t>
  </si>
  <si>
    <r>
      <rPr>
        <sz val="10"/>
        <rFont val="Arial"/>
        <family val="0"/>
        <charset val="1"/>
      </rPr>
      <t xml:space="preserve">20250915_</t>
    </r>
    <r>
      <rPr>
        <sz val="10"/>
        <rFont val="DejaVu Sans"/>
        <family val="2"/>
      </rPr>
      <t xml:space="preserve">延後上學不能只改鐘點國教盟主張以課綱、配套與</t>
    </r>
    <r>
      <rPr>
        <sz val="10"/>
        <rFont val="Arial"/>
        <family val="0"/>
        <charset val="1"/>
      </rPr>
      <t xml:space="preserve">.docx</t>
    </r>
  </si>
  <si>
    <t xml:space="preserve">2025/09/26</t>
  </si>
  <si>
    <t xml:space="preserve">表單變少了嗎？成效要對表！</t>
  </si>
  <si>
    <r>
      <rPr>
        <sz val="10"/>
        <rFont val="Arial"/>
        <family val="0"/>
        <charset val="1"/>
      </rPr>
      <t xml:space="preserve">20250926_</t>
    </r>
    <r>
      <rPr>
        <sz val="10"/>
        <rFont val="DejaVu Sans"/>
        <family val="2"/>
      </rPr>
      <t xml:space="preserve">表單變少了嗎成效要對表</t>
    </r>
    <r>
      <rPr>
        <sz val="10"/>
        <rFont val="Arial"/>
        <family val="0"/>
        <charset val="1"/>
      </rPr>
      <t xml:space="preserve">.docx</t>
    </r>
  </si>
  <si>
    <t xml:space="preserve">2025/10/09</t>
  </si>
  <si>
    <r>
      <rPr>
        <sz val="10"/>
        <rFont val="DejaVu Sans"/>
        <family val="2"/>
      </rPr>
      <t xml:space="preserve">加熱菸將販售 預估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萬年輕人淪陷</t>
    </r>
    <r>
      <rPr>
        <sz val="10"/>
        <rFont val="Arial"/>
        <family val="0"/>
        <charset val="1"/>
      </rPr>
      <t xml:space="preserve">? </t>
    </r>
    <r>
      <rPr>
        <sz val="10"/>
        <rFont val="DejaVu Sans"/>
        <family val="2"/>
      </rPr>
      <t xml:space="preserve">請問政府配套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</si>
  <si>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20251009_OK(</t>
    </r>
    <r>
      <rPr>
        <sz val="10"/>
        <rFont val="DejaVu Sans"/>
        <family val="2"/>
      </rPr>
      <t xml:space="preserve">不含復件</t>
    </r>
    <r>
      <rPr>
        <sz val="10"/>
        <rFont val="Arial"/>
        <family val="0"/>
        <charset val="1"/>
      </rPr>
      <t xml:space="preserve">)).docx</t>
    </r>
  </si>
  <si>
    <t xml:space="preserve">2025/10/10</t>
  </si>
  <si>
    <t xml:space="preserve">世界心理健康日：</t>
  </si>
  <si>
    <r>
      <rPr>
        <sz val="10"/>
        <rFont val="Arial"/>
        <family val="0"/>
        <charset val="1"/>
      </rPr>
      <t xml:space="preserve">20251010_</t>
    </r>
    <r>
      <rPr>
        <sz val="10"/>
        <rFont val="DejaVu Sans"/>
        <family val="2"/>
      </rPr>
      <t xml:space="preserve">肯定政策進步呼籲災後情緒危機處理成為政府標配</t>
    </r>
    <r>
      <rPr>
        <sz val="10"/>
        <rFont val="Arial"/>
        <family val="0"/>
        <charset val="1"/>
      </rPr>
      <t xml:space="preserve">.docx</t>
    </r>
  </si>
  <si>
    <t xml:space="preserve">2025/10/14</t>
  </si>
  <si>
    <t xml:space="preserve">難道真要先上車、後補票？加熱菸別成為全民的「寧靜車廂」</t>
  </si>
  <si>
    <t xml:space="preserve">行政院</t>
  </si>
  <si>
    <r>
      <rPr>
        <sz val="10"/>
        <rFont val="Arial"/>
        <family val="0"/>
        <charset val="1"/>
      </rPr>
      <t xml:space="preserve">20251014_</t>
    </r>
    <r>
      <rPr>
        <sz val="10"/>
        <rFont val="DejaVu Sans"/>
        <family val="2"/>
      </rPr>
      <t xml:space="preserve">難道真要先上車、後補票加熱菸別成為全民的寧靜車</t>
    </r>
    <r>
      <rPr>
        <sz val="10"/>
        <rFont val="Arial"/>
        <family val="0"/>
        <charset val="1"/>
      </rPr>
      <t xml:space="preserve">.docx</t>
    </r>
  </si>
  <si>
    <t xml:space="preserve">2025/10/20</t>
  </si>
  <si>
    <t xml:space="preserve">事實勝過帶風向：加熱菸首日下架　政府執法、兒少優先</t>
  </si>
  <si>
    <r>
      <rPr>
        <sz val="10"/>
        <rFont val="Arial"/>
        <family val="0"/>
        <charset val="1"/>
      </rPr>
      <t xml:space="preserve">20251020_</t>
    </r>
    <r>
      <rPr>
        <sz val="10"/>
        <rFont val="DejaVu Sans"/>
        <family val="2"/>
      </rPr>
      <t xml:space="preserve">正式國教盟</t>
    </r>
    <r>
      <rPr>
        <sz val="10"/>
        <rFont val="Arial"/>
        <family val="0"/>
        <charset val="1"/>
      </rPr>
      <t xml:space="preserve">.docx</t>
    </r>
  </si>
  <si>
    <t xml:space="preserve">衛福部下架違規標示加熱菸品 台灣拒菸聯盟表達肯定、呼籲強力執法並送驗</t>
  </si>
  <si>
    <r>
      <rPr>
        <sz val="10"/>
        <rFont val="Arial"/>
        <family val="0"/>
        <charset val="1"/>
      </rPr>
      <t xml:space="preserve">20251020_</t>
    </r>
    <r>
      <rPr>
        <sz val="10"/>
        <rFont val="DejaVu Sans"/>
        <family val="2"/>
      </rPr>
      <t xml:space="preserve">衛福部下架違規標示加熱菸品台灣拒菸聯盟表達肯定、</t>
    </r>
    <r>
      <rPr>
        <sz val="10"/>
        <rFont val="Arial"/>
        <family val="0"/>
        <charset val="1"/>
      </rPr>
      <t xml:space="preserve">.docx</t>
    </r>
  </si>
  <si>
    <t xml:space="preserve">2025/10/22</t>
  </si>
  <si>
    <r>
      <rPr>
        <sz val="10"/>
        <rFont val="DejaVu Sans"/>
        <family val="2"/>
      </rPr>
      <t xml:space="preserve">為何跨國菸草公司拒絕依法標示加熱菸尼古丁含量</t>
    </r>
    <r>
      <rPr>
        <sz val="10"/>
        <rFont val="Arial"/>
        <family val="0"/>
        <charset val="1"/>
      </rPr>
      <t xml:space="preserve">!?</t>
    </r>
  </si>
  <si>
    <r>
      <rPr>
        <sz val="10"/>
        <rFont val="Arial"/>
        <family val="0"/>
        <charset val="1"/>
      </rPr>
      <t xml:space="preserve">20251022_1141022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.docx</t>
    </r>
  </si>
  <si>
    <t xml:space="preserve">2025/10/24</t>
  </si>
  <si>
    <t xml:space="preserve">「特別法優先於普通法」</t>
  </si>
  <si>
    <t xml:space="preserve">國健署、立法院</t>
  </si>
  <si>
    <r>
      <rPr>
        <sz val="10"/>
        <rFont val="Arial"/>
        <family val="0"/>
        <charset val="1"/>
      </rPr>
      <t xml:space="preserve">20251024_</t>
    </r>
    <r>
      <rPr>
        <sz val="10"/>
        <rFont val="DejaVu Sans"/>
        <family val="2"/>
      </rPr>
      <t xml:space="preserve">台灣拒菸聯盟新聞稿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年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月</t>
    </r>
    <r>
      <rPr>
        <sz val="10"/>
        <rFont val="Arial"/>
        <family val="0"/>
        <charset val="1"/>
      </rPr>
      <t xml:space="preserve">24</t>
    </r>
    <r>
      <rPr>
        <sz val="10"/>
        <rFont val="DejaVu Sans"/>
        <family val="2"/>
      </rPr>
      <t xml:space="preserve">日</t>
    </r>
    <r>
      <rPr>
        <sz val="10"/>
        <rFont val="Arial"/>
        <family val="0"/>
        <charset val="1"/>
      </rPr>
      <t xml:space="preserve">.docx</t>
    </r>
  </si>
  <si>
    <t xml:space="preserve">2025/11/12</t>
  </si>
  <si>
    <t xml:space="preserve">婦兒盟：補助人工生殖無助解決少子女化</t>
  </si>
  <si>
    <t xml:space="preserve">人工生殖</t>
  </si>
  <si>
    <r>
      <rPr>
        <sz val="10"/>
        <rFont val="Arial"/>
        <family val="0"/>
        <charset val="1"/>
      </rPr>
      <t xml:space="preserve">20251112_</t>
    </r>
    <r>
      <rPr>
        <sz val="10"/>
        <rFont val="DejaVu Sans"/>
        <family val="2"/>
      </rPr>
      <t xml:space="preserve">人工生殖補助</t>
    </r>
    <r>
      <rPr>
        <sz val="10"/>
        <rFont val="Arial"/>
        <family val="0"/>
        <charset val="1"/>
      </rPr>
      <t xml:space="preserve">.docx</t>
    </r>
  </si>
  <si>
    <t xml:space="preserve">制度要更好，不是更少</t>
  </si>
  <si>
    <r>
      <rPr>
        <sz val="10"/>
        <rFont val="Arial"/>
        <family val="0"/>
        <charset val="1"/>
      </rPr>
      <t xml:space="preserve">20251112_</t>
    </r>
    <r>
      <rPr>
        <sz val="10"/>
        <rFont val="DejaVu Sans"/>
        <family val="2"/>
      </rPr>
      <t xml:space="preserve">家長團體聯合</t>
    </r>
    <r>
      <rPr>
        <sz val="10"/>
        <rFont val="Arial"/>
        <family val="0"/>
        <charset val="1"/>
      </rPr>
      <t xml:space="preserve">.docx</t>
    </r>
  </si>
  <si>
    <t xml:space="preserve">2025/11/13</t>
  </si>
  <si>
    <t xml:space="preserve">國教盟青年部懇請政府重視青少年詐騙問題</t>
  </si>
  <si>
    <r>
      <rPr>
        <sz val="10"/>
        <rFont val="Arial"/>
        <family val="0"/>
        <charset val="1"/>
      </rPr>
      <t xml:space="preserve">20251113_</t>
    </r>
    <r>
      <rPr>
        <sz val="10"/>
        <rFont val="DejaVu Sans"/>
        <family val="2"/>
      </rPr>
      <t xml:space="preserve">回應詐騙通報網</t>
    </r>
    <r>
      <rPr>
        <sz val="10"/>
        <rFont val="Arial"/>
        <family val="0"/>
        <charset val="1"/>
      </rPr>
      <t xml:space="preserve">.docx</t>
    </r>
  </si>
  <si>
    <t xml:space="preserve">2025/11/19</t>
  </si>
  <si>
    <r>
      <rPr>
        <sz val="10"/>
        <rFont val="Arial"/>
        <family val="0"/>
        <charset val="1"/>
      </rPr>
      <t xml:space="preserve">20251119_</t>
    </r>
    <r>
      <rPr>
        <sz val="10"/>
        <rFont val="DejaVu Sans"/>
        <family val="2"/>
      </rPr>
      <t xml:space="preserve">與全家盟聯合</t>
    </r>
    <r>
      <rPr>
        <sz val="10"/>
        <rFont val="Arial"/>
        <family val="0"/>
        <charset val="1"/>
      </rPr>
      <t xml:space="preserve">.docx</t>
    </r>
  </si>
  <si>
    <t xml:space="preserve">2025/11/22</t>
  </si>
  <si>
    <t xml:space="preserve">國教盟肯定預告修正版本有助處理爭議</t>
  </si>
  <si>
    <r>
      <rPr>
        <sz val="10"/>
        <rFont val="Arial"/>
        <family val="0"/>
        <charset val="1"/>
      </rPr>
      <t xml:space="preserve">20251122_</t>
    </r>
    <r>
      <rPr>
        <sz val="10"/>
        <rFont val="DejaVu Sans"/>
        <family val="2"/>
      </rPr>
      <t xml:space="preserve">國教盟肯定預告修正版本有助處理爭議</t>
    </r>
    <r>
      <rPr>
        <sz val="10"/>
        <rFont val="Arial"/>
        <family val="0"/>
        <charset val="1"/>
      </rPr>
      <t xml:space="preserve">.docx</t>
    </r>
  </si>
  <si>
    <t xml:space="preserve">2025/11/24</t>
  </si>
  <si>
    <t xml:space="preserve">制度要更好，不是更少：肯定預告修正進步，但必須補上「前端把關、單一事實審認、外部專業、時限回饋」四關鍵</t>
  </si>
  <si>
    <r>
      <rPr>
        <sz val="10"/>
        <rFont val="Arial"/>
        <family val="0"/>
        <charset val="1"/>
      </rPr>
      <t xml:space="preserve">20251124_</t>
    </r>
    <r>
      <rPr>
        <sz val="10"/>
        <rFont val="DejaVu Sans"/>
        <family val="2"/>
      </rPr>
      <t xml:space="preserve">制度要更好不是更少肯定預告修正進步但必須補上</t>
    </r>
    <r>
      <rPr>
        <sz val="10"/>
        <rFont val="Arial"/>
        <family val="0"/>
        <charset val="1"/>
      </rPr>
      <t xml:space="preserve">.docx</t>
    </r>
  </si>
  <si>
    <t xml:space="preserve">2025/12/05</t>
  </si>
  <si>
    <t xml:space="preserve">從「事後追究」轉向「事前預防」不要讓悲劇反覆發生</t>
  </si>
  <si>
    <r>
      <rPr>
        <sz val="10"/>
        <rFont val="Arial"/>
        <family val="0"/>
        <charset val="1"/>
      </rPr>
      <t xml:space="preserve">20251205_</t>
    </r>
    <r>
      <rPr>
        <sz val="10"/>
        <rFont val="DejaVu Sans"/>
        <family val="2"/>
      </rPr>
      <t xml:space="preserve">青少年自殺通報九年增加</t>
    </r>
    <r>
      <rPr>
        <sz val="10"/>
        <rFont val="Arial"/>
        <family val="0"/>
        <charset val="1"/>
      </rPr>
      <t xml:space="preserve">3.3</t>
    </r>
    <r>
      <rPr>
        <sz val="10"/>
        <rFont val="DejaVu Sans"/>
        <family val="2"/>
      </rPr>
      <t xml:space="preserve">倍、佔比倍增國教盟</t>
    </r>
    <r>
      <rPr>
        <sz val="10"/>
        <rFont val="Arial"/>
        <family val="0"/>
        <charset val="1"/>
      </rPr>
      <t xml:space="preserve">.docx</t>
    </r>
  </si>
  <si>
    <t xml:space="preserve">2025/12/06</t>
  </si>
  <si>
    <t xml:space="preserve">「中華民國兒童健康聯盟」「全國婦兒團體聯盟」「國教行動聯盟」</t>
  </si>
  <si>
    <t xml:space="preserve">教育部、行政院</t>
  </si>
  <si>
    <r>
      <rPr>
        <sz val="10"/>
        <rFont val="Arial"/>
        <family val="0"/>
        <charset val="1"/>
      </rPr>
      <t xml:space="preserve">20251206_</t>
    </r>
    <r>
      <rPr>
        <sz val="10"/>
        <rFont val="DejaVu Sans"/>
        <family val="2"/>
      </rPr>
      <t xml:space="preserve">生育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養育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教育—兒童成長需求總體檢」論壇</t>
    </r>
    <r>
      <rPr>
        <sz val="10"/>
        <rFont val="Arial"/>
        <family val="0"/>
        <charset val="1"/>
      </rPr>
      <t xml:space="preserve">.docx</t>
    </r>
  </si>
  <si>
    <t xml:space="preserve">2025/12/08</t>
  </si>
  <si>
    <r>
      <rPr>
        <sz val="10"/>
        <rFont val="Arial"/>
        <family val="0"/>
        <charset val="1"/>
      </rPr>
      <t xml:space="preserve">8742</t>
    </r>
    <r>
      <rPr>
        <sz val="10"/>
        <rFont val="DejaVu Sans"/>
        <family val="2"/>
      </rPr>
      <t xml:space="preserve">名青少年票選第三名：「遇到性騷擾該怎麼辦？」</t>
    </r>
    <r>
      <rPr>
        <sz val="10"/>
        <rFont val="Arial"/>
        <family val="0"/>
        <charset val="1"/>
      </rPr>
      <t xml:space="preserve">
</t>
    </r>
    <r>
      <rPr>
        <sz val="10"/>
        <rFont val="DejaVu Sans"/>
        <family val="2"/>
      </rPr>
      <t xml:space="preserve">性影像被害人過半未成年，卻沒人教他如何預防</t>
    </r>
  </si>
  <si>
    <r>
      <rPr>
        <sz val="10"/>
        <rFont val="Arial"/>
        <family val="0"/>
        <charset val="1"/>
      </rPr>
      <t xml:space="preserve">20251208_8742</t>
    </r>
    <r>
      <rPr>
        <sz val="10"/>
        <rFont val="DejaVu Sans"/>
        <family val="2"/>
      </rPr>
      <t xml:space="preserve">名青少年票選第三名遇到性騷擾該怎麼辦</t>
    </r>
    <r>
      <rPr>
        <sz val="10"/>
        <rFont val="Arial"/>
        <family val="0"/>
        <charset val="1"/>
      </rPr>
      <t xml:space="preserve">.docx</t>
    </r>
  </si>
  <si>
    <t xml:space="preserve">2025/12/09</t>
  </si>
  <si>
    <t xml:space="preserve">肯定跨部會平台啟動，呼籲以兒少視角完善單一入口與校園支持</t>
  </si>
  <si>
    <r>
      <rPr>
        <sz val="10"/>
        <rFont val="Arial"/>
        <family val="0"/>
        <charset val="1"/>
      </rPr>
      <t xml:space="preserve">20251209_</t>
    </r>
    <r>
      <rPr>
        <sz val="10"/>
        <rFont val="DejaVu Sans"/>
        <family val="2"/>
      </rPr>
      <t xml:space="preserve">肯定跨部會平台啟動呼籲以兒少視角完善單一入口與校</t>
    </r>
    <r>
      <rPr>
        <sz val="10"/>
        <rFont val="Arial"/>
        <family val="0"/>
        <charset val="1"/>
      </rPr>
      <t xml:space="preserve">.docx</t>
    </r>
  </si>
  <si>
    <t xml:space="preserve">2025/12/16</t>
  </si>
  <si>
    <r>
      <rPr>
        <sz val="10"/>
        <rFont val="DejaVu Sans"/>
        <family val="2"/>
      </rPr>
      <t xml:space="preserve">校園菸毒與毒駕源頭相同 新興毒品快速變形 毒駕年增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倍</t>
    </r>
  </si>
  <si>
    <r>
      <rPr>
        <sz val="10"/>
        <rFont val="Arial"/>
        <family val="0"/>
        <charset val="1"/>
      </rPr>
      <t xml:space="preserve">20251216_</t>
    </r>
    <r>
      <rPr>
        <sz val="10"/>
        <rFont val="DejaVu Sans"/>
        <family val="2"/>
      </rPr>
      <t xml:space="preserve">校園菸毒與毒駕源頭相同新興毒品快速變形毒駕年增</t>
    </r>
    <r>
      <rPr>
        <sz val="10"/>
        <rFont val="Arial"/>
        <family val="0"/>
        <charset val="1"/>
      </rPr>
      <t xml:space="preserve">.docx</t>
    </r>
  </si>
  <si>
    <t xml:space="preserve">2025/12/18</t>
  </si>
  <si>
    <t xml:space="preserve">台灣的兒少數位保護要前進：</t>
  </si>
  <si>
    <r>
      <rPr>
        <sz val="10"/>
        <rFont val="Arial"/>
        <family val="0"/>
        <charset val="1"/>
      </rPr>
      <t xml:space="preserve">20251218_</t>
    </r>
    <r>
      <rPr>
        <sz val="10"/>
        <rFont val="DejaVu Sans"/>
        <family val="2"/>
      </rPr>
      <t xml:space="preserve">與一滴優</t>
    </r>
    <r>
      <rPr>
        <sz val="10"/>
        <rFont val="Arial"/>
        <family val="0"/>
        <charset val="1"/>
      </rPr>
      <t xml:space="preserve">.docx</t>
    </r>
  </si>
  <si>
    <t xml:space="preserve">2025/12/24</t>
  </si>
  <si>
    <t xml:space="preserve">二審判決引發社會質疑</t>
  </si>
  <si>
    <r>
      <rPr>
        <sz val="10"/>
        <rFont val="Arial"/>
        <family val="0"/>
        <charset val="1"/>
      </rPr>
      <t xml:space="preserve">20251224_</t>
    </r>
    <r>
      <rPr>
        <sz val="10"/>
        <rFont val="DejaVu Sans"/>
        <family val="2"/>
      </rPr>
      <t xml:space="preserve">新北割頸案二審國教盟</t>
    </r>
    <r>
      <rPr>
        <sz val="10"/>
        <rFont val="Arial"/>
        <family val="0"/>
        <charset val="1"/>
      </rPr>
      <t xml:space="preserve">.docx</t>
    </r>
  </si>
  <si>
    <r>
      <rPr>
        <b val="true"/>
        <sz val="14"/>
        <color rgb="FF1F4E79"/>
        <rFont val="DejaVu Sans"/>
        <family val="2"/>
      </rPr>
      <t xml:space="preserve">國教行動聯盟 議題追蹤總覽（</t>
    </r>
    <r>
      <rPr>
        <b val="true"/>
        <sz val="14"/>
        <color rgb="FF1F4E79"/>
        <rFont val="Arial"/>
        <family val="0"/>
        <charset val="1"/>
      </rPr>
      <t xml:space="preserve">2023-2025</t>
    </r>
    <r>
      <rPr>
        <b val="true"/>
        <sz val="14"/>
        <color rgb="FF1F4E79"/>
        <rFont val="DejaVu Sans"/>
        <family val="2"/>
      </rPr>
      <t xml:space="preserve">）</t>
    </r>
  </si>
  <si>
    <t xml:space="preserve">自動統計 ｜ 黃底欄位為手動填寫</t>
  </si>
  <si>
    <t xml:space="preserve">議題</t>
  </si>
  <si>
    <r>
      <rPr>
        <b val="true"/>
        <sz val="11"/>
        <color rgb="FFFFFFFF"/>
        <rFont val="Arial"/>
        <family val="0"/>
        <charset val="1"/>
      </rPr>
      <t xml:space="preserve">2023</t>
    </r>
    <r>
      <rPr>
        <b val="true"/>
        <sz val="11"/>
        <color rgb="FFFFFFFF"/>
        <rFont val="DejaVu Sans"/>
        <family val="2"/>
      </rPr>
      <t xml:space="preserve">年</t>
    </r>
  </si>
  <si>
    <r>
      <rPr>
        <b val="true"/>
        <sz val="11"/>
        <color rgb="FFFFFFFF"/>
        <rFont val="Arial"/>
        <family val="0"/>
        <charset val="1"/>
      </rPr>
      <t xml:space="preserve">2024</t>
    </r>
    <r>
      <rPr>
        <b val="true"/>
        <sz val="11"/>
        <color rgb="FFFFFFFF"/>
        <rFont val="DejaVu Sans"/>
        <family val="2"/>
      </rPr>
      <t xml:space="preserve">年</t>
    </r>
  </si>
  <si>
    <r>
      <rPr>
        <b val="true"/>
        <sz val="11"/>
        <color rgb="FFFFFFFF"/>
        <rFont val="Arial"/>
        <family val="0"/>
        <charset val="1"/>
      </rPr>
      <t xml:space="preserve">2025</t>
    </r>
    <r>
      <rPr>
        <b val="true"/>
        <sz val="11"/>
        <color rgb="FFFFFFFF"/>
        <rFont val="DejaVu Sans"/>
        <family val="2"/>
      </rPr>
      <t xml:space="preserve">年</t>
    </r>
  </si>
  <si>
    <t xml:space="preserve">總計</t>
  </si>
  <si>
    <r>
      <rPr>
        <b val="true"/>
        <sz val="11"/>
        <color rgb="FFFFFFFF"/>
        <rFont val="DejaVu Sans"/>
        <family val="2"/>
      </rPr>
      <t xml:space="preserve">記者會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公聽會</t>
    </r>
  </si>
  <si>
    <t xml:space="preserve">有政府回應</t>
  </si>
  <si>
    <t xml:space="preserve">倡議現況</t>
  </si>
  <si>
    <t xml:space="preserve">下一步行動</t>
  </si>
  <si>
    <t xml:space="preserve">合計</t>
  </si>
  <si>
    <r>
      <rPr>
        <b val="true"/>
        <sz val="14"/>
        <color rgb="FF1F4E79"/>
        <rFont val="DejaVu Sans"/>
        <family val="2"/>
      </rPr>
      <t xml:space="preserve">年度月度倡議統計（</t>
    </r>
    <r>
      <rPr>
        <b val="true"/>
        <sz val="14"/>
        <color rgb="FF1F4E79"/>
        <rFont val="Arial"/>
        <family val="0"/>
        <charset val="1"/>
      </rPr>
      <t xml:space="preserve">2023-2025</t>
    </r>
    <r>
      <rPr>
        <b val="true"/>
        <sz val="14"/>
        <color rgb="FF1F4E79"/>
        <rFont val="DejaVu Sans"/>
        <family val="2"/>
      </rPr>
      <t xml:space="preserve">）</t>
    </r>
  </si>
  <si>
    <t xml:space="preserve">月份</t>
  </si>
  <si>
    <r>
      <rPr>
        <sz val="10"/>
        <rFont val="Arial"/>
        <family val="0"/>
        <charset val="1"/>
      </rPr>
      <t xml:space="preserve">01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</si>
  <si>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02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</si>
  <si>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03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</si>
  <si>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04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</si>
  <si>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05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</si>
  <si>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06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</si>
  <si>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07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</si>
  <si>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08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</si>
  <si>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09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</si>
  <si>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</si>
  <si>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月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</si>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</sst>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DejaVu Sans"/>
      <family val="2"/>
    </font>
    <font>
      <b val="true"/>
      <sz val="14"/>
      <color rgb="FF1F4E79"/>
      <name val="Arial"/>
      <family val="0"/>
      <charset val="1"/>
    </font>
    <font>
      <sz val="9"/>
      <color rgb="FF808080"/>
      <name val="DejaVu Sans"/>
      <family val="2"/>
    </font>
    <font>
      <sz val="9"/>
      <color rgb="FF808080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1F8E9"/>
      </patternFill>
    </fill>
    <fill>
      <patternFill patternType="solid">
        <fgColor rgb="FFFCE4EC"/>
        <bgColor rgb="FFFBE9E7"/>
      </patternFill>
    </fill>
    <fill>
      <patternFill patternType="solid">
        <fgColor rgb="FFFFF3E0"/>
        <bgColor rgb="FFFFF2CC"/>
      </patternFill>
    </fill>
    <fill>
      <patternFill patternType="solid">
        <fgColor rgb="FFFFF2CC"/>
        <bgColor rgb="FFFFF3E0"/>
      </patternFill>
    </fill>
    <fill>
      <patternFill patternType="solid">
        <fgColor rgb="FFE3F2FD"/>
        <bgColor rgb="FFE0F7FA"/>
      </patternFill>
    </fill>
    <fill>
      <patternFill patternType="solid">
        <fgColor rgb="FFE8F5E9"/>
        <bgColor rgb="FFF1F8E9"/>
      </patternFill>
    </fill>
    <fill>
      <patternFill patternType="solid">
        <fgColor rgb="FFFBE9E7"/>
        <bgColor rgb="FFFCE4EC"/>
      </patternFill>
    </fill>
    <fill>
      <patternFill patternType="solid">
        <fgColor rgb="FFF1F8E9"/>
        <bgColor rgb="FFF5F5F5"/>
      </patternFill>
    </fill>
    <fill>
      <patternFill patternType="solid">
        <fgColor rgb="FFEFEBE9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DE7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3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5F5"/>
      <rgbColor rgb="FF808080"/>
      <rgbColor rgb="FF9999FF"/>
      <rgbColor rgb="FF993366"/>
      <rgbColor rgb="FFFFFDE7"/>
      <rgbColor rgb="FFE0F7FA"/>
      <rgbColor rgb="FF660066"/>
      <rgbColor rgb="FFFF8080"/>
      <rgbColor rgb="FF0066CC"/>
      <rgbColor rgb="FFD9D9D9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2CC"/>
      <rgbColor rgb="FFEFEBE9"/>
      <rgbColor rgb="FFFBE9E7"/>
      <rgbColor rgb="FFF5F5F5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5" t="s">
        <v>14</v>
      </c>
      <c r="E5" s="6" t="s">
        <v>15</v>
      </c>
      <c r="F5" s="4"/>
      <c r="G5" s="7" t="s">
        <v>16</v>
      </c>
      <c r="H5" s="5"/>
      <c r="I5" s="4"/>
      <c r="J5" s="5" t="s">
        <v>17</v>
      </c>
    </row>
    <row r="6" customFormat="false" ht="15" hidden="false" customHeight="false" outlineLevel="0" collapsed="false">
      <c r="A6" s="4" t="n">
        <v>2</v>
      </c>
      <c r="B6" s="4" t="s">
        <v>12</v>
      </c>
      <c r="C6" s="4" t="s">
        <v>13</v>
      </c>
      <c r="D6" s="5" t="s">
        <v>18</v>
      </c>
      <c r="E6" s="6" t="s">
        <v>15</v>
      </c>
      <c r="F6" s="4"/>
      <c r="G6" s="7" t="s">
        <v>19</v>
      </c>
      <c r="H6" s="5"/>
      <c r="I6" s="4"/>
      <c r="J6" s="5" t="s">
        <v>20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13</v>
      </c>
      <c r="D7" s="5" t="s">
        <v>21</v>
      </c>
      <c r="E7" s="8" t="s">
        <v>22</v>
      </c>
      <c r="F7" s="4"/>
      <c r="G7" s="7" t="s">
        <v>16</v>
      </c>
      <c r="H7" s="5"/>
      <c r="I7" s="4"/>
      <c r="J7" s="5" t="s">
        <v>23</v>
      </c>
    </row>
    <row r="8" customFormat="false" ht="15" hidden="false" customHeight="false" outlineLevel="0" collapsed="false">
      <c r="A8" s="4" t="n">
        <v>4</v>
      </c>
      <c r="B8" s="4" t="s">
        <v>12</v>
      </c>
      <c r="C8" s="4" t="s">
        <v>13</v>
      </c>
      <c r="D8" s="5" t="s">
        <v>24</v>
      </c>
      <c r="E8" s="9" t="s">
        <v>25</v>
      </c>
      <c r="F8" s="4"/>
      <c r="G8" s="7" t="s">
        <v>19</v>
      </c>
      <c r="H8" s="5"/>
      <c r="I8" s="4"/>
      <c r="J8" s="5" t="s">
        <v>26</v>
      </c>
    </row>
    <row r="9" customFormat="false" ht="15" hidden="false" customHeight="false" outlineLevel="0" collapsed="false">
      <c r="A9" s="4" t="n">
        <v>5</v>
      </c>
      <c r="B9" s="4" t="s">
        <v>12</v>
      </c>
      <c r="C9" s="4" t="s">
        <v>13</v>
      </c>
      <c r="D9" s="5" t="s">
        <v>27</v>
      </c>
      <c r="E9" s="10" t="s">
        <v>28</v>
      </c>
      <c r="F9" s="4"/>
      <c r="G9" s="7" t="s">
        <v>19</v>
      </c>
      <c r="H9" s="5"/>
      <c r="I9" s="4"/>
      <c r="J9" s="11" t="s">
        <v>29</v>
      </c>
    </row>
    <row r="10" customFormat="false" ht="15" hidden="false" customHeight="false" outlineLevel="0" collapsed="false">
      <c r="A10" s="4" t="n">
        <v>6</v>
      </c>
      <c r="B10" s="4" t="s">
        <v>12</v>
      </c>
      <c r="C10" s="4" t="s">
        <v>13</v>
      </c>
      <c r="D10" s="5" t="s">
        <v>30</v>
      </c>
      <c r="E10" s="10" t="s">
        <v>28</v>
      </c>
      <c r="F10" s="4"/>
      <c r="G10" s="7" t="s">
        <v>19</v>
      </c>
      <c r="H10" s="11"/>
      <c r="I10" s="4"/>
      <c r="J10" s="11" t="s">
        <v>31</v>
      </c>
    </row>
    <row r="11" customFormat="false" ht="15" hidden="false" customHeight="false" outlineLevel="0" collapsed="false">
      <c r="A11" s="4" t="n">
        <v>7</v>
      </c>
      <c r="B11" s="4" t="s">
        <v>12</v>
      </c>
      <c r="C11" s="4" t="s">
        <v>13</v>
      </c>
      <c r="D11" s="11" t="s">
        <v>32</v>
      </c>
      <c r="E11" s="12" t="s">
        <v>33</v>
      </c>
      <c r="F11" s="7" t="s">
        <v>34</v>
      </c>
      <c r="G11" s="7" t="s">
        <v>19</v>
      </c>
      <c r="H11" s="11"/>
      <c r="I11" s="4"/>
      <c r="J11" s="11" t="s">
        <v>35</v>
      </c>
    </row>
    <row r="12" customFormat="false" ht="15" hidden="false" customHeight="false" outlineLevel="0" collapsed="false">
      <c r="A12" s="4" t="n">
        <v>8</v>
      </c>
      <c r="B12" s="4" t="s">
        <v>12</v>
      </c>
      <c r="C12" s="4" t="s">
        <v>36</v>
      </c>
      <c r="D12" s="5" t="s">
        <v>37</v>
      </c>
      <c r="E12" s="6" t="s">
        <v>15</v>
      </c>
      <c r="F12" s="4"/>
      <c r="G12" s="7" t="s">
        <v>19</v>
      </c>
      <c r="H12" s="11"/>
      <c r="I12" s="4"/>
      <c r="J12" s="11" t="s">
        <v>38</v>
      </c>
    </row>
    <row r="13" customFormat="false" ht="15" hidden="false" customHeight="false" outlineLevel="0" collapsed="false">
      <c r="A13" s="4" t="n">
        <v>9</v>
      </c>
      <c r="B13" s="4" t="s">
        <v>12</v>
      </c>
      <c r="C13" s="4" t="s">
        <v>36</v>
      </c>
      <c r="D13" s="5" t="s">
        <v>39</v>
      </c>
      <c r="E13" s="6" t="s">
        <v>15</v>
      </c>
      <c r="F13" s="4"/>
      <c r="G13" s="7" t="s">
        <v>19</v>
      </c>
      <c r="H13" s="11"/>
      <c r="I13" s="4"/>
      <c r="J13" s="11" t="s">
        <v>40</v>
      </c>
    </row>
    <row r="14" customFormat="false" ht="15" hidden="false" customHeight="false" outlineLevel="0" collapsed="false">
      <c r="A14" s="4" t="n">
        <v>10</v>
      </c>
      <c r="B14" s="4" t="s">
        <v>12</v>
      </c>
      <c r="C14" s="4" t="s">
        <v>41</v>
      </c>
      <c r="D14" s="5" t="s">
        <v>39</v>
      </c>
      <c r="E14" s="6" t="s">
        <v>15</v>
      </c>
      <c r="F14" s="4"/>
      <c r="G14" s="7" t="s">
        <v>19</v>
      </c>
      <c r="H14" s="11"/>
      <c r="I14" s="4"/>
      <c r="J14" s="11" t="s">
        <v>42</v>
      </c>
    </row>
    <row r="15" customFormat="false" ht="15" hidden="false" customHeight="false" outlineLevel="0" collapsed="false">
      <c r="A15" s="4" t="n">
        <v>11</v>
      </c>
      <c r="B15" s="4" t="s">
        <v>12</v>
      </c>
      <c r="C15" s="4" t="s">
        <v>43</v>
      </c>
      <c r="D15" s="5" t="s">
        <v>44</v>
      </c>
      <c r="E15" s="10" t="s">
        <v>28</v>
      </c>
      <c r="F15" s="4"/>
      <c r="G15" s="7" t="s">
        <v>19</v>
      </c>
      <c r="H15" s="11"/>
      <c r="I15" s="4"/>
      <c r="J15" s="11" t="s">
        <v>45</v>
      </c>
    </row>
    <row r="16" customFormat="false" ht="15" hidden="false" customHeight="false" outlineLevel="0" collapsed="false">
      <c r="A16" s="4" t="n">
        <v>12</v>
      </c>
      <c r="B16" s="4" t="s">
        <v>12</v>
      </c>
      <c r="C16" s="4" t="s">
        <v>46</v>
      </c>
      <c r="D16" s="11" t="s">
        <v>47</v>
      </c>
      <c r="E16" s="10" t="s">
        <v>28</v>
      </c>
      <c r="F16" s="4"/>
      <c r="G16" s="7" t="s">
        <v>19</v>
      </c>
      <c r="H16" s="11"/>
      <c r="I16" s="4"/>
      <c r="J16" s="11" t="s">
        <v>48</v>
      </c>
    </row>
    <row r="17" customFormat="false" ht="15" hidden="false" customHeight="false" outlineLevel="0" collapsed="false">
      <c r="A17" s="4" t="n">
        <v>13</v>
      </c>
      <c r="B17" s="4" t="s">
        <v>12</v>
      </c>
      <c r="C17" s="4" t="s">
        <v>46</v>
      </c>
      <c r="D17" s="5" t="s">
        <v>19</v>
      </c>
      <c r="E17" s="10" t="s">
        <v>28</v>
      </c>
      <c r="F17" s="4"/>
      <c r="G17" s="7" t="s">
        <v>19</v>
      </c>
      <c r="H17" s="11"/>
      <c r="I17" s="4"/>
      <c r="J17" s="11" t="s">
        <v>49</v>
      </c>
    </row>
    <row r="18" customFormat="false" ht="15" hidden="false" customHeight="false" outlineLevel="0" collapsed="false">
      <c r="A18" s="4" t="n">
        <v>14</v>
      </c>
      <c r="B18" s="4" t="s">
        <v>12</v>
      </c>
      <c r="C18" s="4" t="s">
        <v>46</v>
      </c>
      <c r="D18" s="5" t="s">
        <v>50</v>
      </c>
      <c r="E18" s="10" t="s">
        <v>28</v>
      </c>
      <c r="F18" s="4"/>
      <c r="G18" s="7" t="s">
        <v>19</v>
      </c>
      <c r="H18" s="11"/>
      <c r="I18" s="4"/>
      <c r="J18" s="11" t="s">
        <v>51</v>
      </c>
    </row>
    <row r="19" customFormat="false" ht="15" hidden="false" customHeight="false" outlineLevel="0" collapsed="false">
      <c r="A19" s="4" t="n">
        <v>15</v>
      </c>
      <c r="B19" s="4" t="s">
        <v>12</v>
      </c>
      <c r="C19" s="4" t="s">
        <v>52</v>
      </c>
      <c r="D19" s="5" t="s">
        <v>53</v>
      </c>
      <c r="E19" s="10" t="s">
        <v>28</v>
      </c>
      <c r="F19" s="4"/>
      <c r="G19" s="7" t="s">
        <v>19</v>
      </c>
      <c r="H19" s="11"/>
      <c r="I19" s="4"/>
      <c r="J19" s="11" t="s">
        <v>54</v>
      </c>
    </row>
    <row r="20" customFormat="false" ht="15" hidden="false" customHeight="false" outlineLevel="0" collapsed="false">
      <c r="A20" s="4" t="n">
        <v>16</v>
      </c>
      <c r="B20" s="4" t="s">
        <v>12</v>
      </c>
      <c r="C20" s="4" t="s">
        <v>55</v>
      </c>
      <c r="D20" s="5" t="s">
        <v>56</v>
      </c>
      <c r="E20" s="10" t="s">
        <v>28</v>
      </c>
      <c r="F20" s="4"/>
      <c r="G20" s="7" t="s">
        <v>19</v>
      </c>
      <c r="H20" s="11"/>
      <c r="I20" s="4"/>
      <c r="J20" s="11" t="s">
        <v>57</v>
      </c>
    </row>
    <row r="21" customFormat="false" ht="15" hidden="false" customHeight="false" outlineLevel="0" collapsed="false">
      <c r="A21" s="4" t="n">
        <v>17</v>
      </c>
      <c r="B21" s="4" t="s">
        <v>12</v>
      </c>
      <c r="C21" s="4" t="s">
        <v>58</v>
      </c>
      <c r="D21" s="5" t="s">
        <v>59</v>
      </c>
      <c r="E21" s="10" t="s">
        <v>28</v>
      </c>
      <c r="F21" s="4"/>
      <c r="G21" s="7" t="s">
        <v>19</v>
      </c>
      <c r="H21" s="11"/>
      <c r="I21" s="4"/>
      <c r="J21" s="11" t="s">
        <v>60</v>
      </c>
    </row>
    <row r="22" customFormat="false" ht="15" hidden="false" customHeight="false" outlineLevel="0" collapsed="false">
      <c r="A22" s="4" t="n">
        <v>18</v>
      </c>
      <c r="B22" s="4" t="s">
        <v>12</v>
      </c>
      <c r="C22" s="4" t="s">
        <v>61</v>
      </c>
      <c r="D22" s="5" t="s">
        <v>62</v>
      </c>
      <c r="E22" s="10" t="s">
        <v>28</v>
      </c>
      <c r="F22" s="4"/>
      <c r="G22" s="7" t="s">
        <v>19</v>
      </c>
      <c r="H22" s="11"/>
      <c r="I22" s="4"/>
      <c r="J22" s="11" t="s">
        <v>63</v>
      </c>
    </row>
    <row r="23" customFormat="false" ht="15" hidden="false" customHeight="false" outlineLevel="0" collapsed="false">
      <c r="A23" s="4" t="n">
        <v>19</v>
      </c>
      <c r="B23" s="4" t="s">
        <v>12</v>
      </c>
      <c r="C23" s="4" t="s">
        <v>64</v>
      </c>
      <c r="D23" s="5" t="s">
        <v>65</v>
      </c>
      <c r="E23" s="6" t="s">
        <v>15</v>
      </c>
      <c r="F23" s="4"/>
      <c r="G23" s="7" t="s">
        <v>19</v>
      </c>
      <c r="H23" s="11"/>
      <c r="I23" s="4"/>
      <c r="J23" s="11" t="s">
        <v>66</v>
      </c>
    </row>
    <row r="24" customFormat="false" ht="15" hidden="false" customHeight="false" outlineLevel="0" collapsed="false">
      <c r="A24" s="4" t="n">
        <v>20</v>
      </c>
      <c r="B24" s="4" t="s">
        <v>12</v>
      </c>
      <c r="C24" s="4" t="s">
        <v>67</v>
      </c>
      <c r="D24" s="5" t="s">
        <v>68</v>
      </c>
      <c r="E24" s="13" t="s">
        <v>69</v>
      </c>
      <c r="F24" s="4"/>
      <c r="G24" s="7" t="s">
        <v>19</v>
      </c>
      <c r="H24" s="11"/>
      <c r="I24" s="4"/>
      <c r="J24" s="11" t="s">
        <v>70</v>
      </c>
    </row>
    <row r="25" customFormat="false" ht="15" hidden="false" customHeight="false" outlineLevel="0" collapsed="false">
      <c r="A25" s="4" t="n">
        <v>21</v>
      </c>
      <c r="B25" s="4" t="s">
        <v>12</v>
      </c>
      <c r="C25" s="4" t="s">
        <v>71</v>
      </c>
      <c r="D25" s="5" t="s">
        <v>72</v>
      </c>
      <c r="E25" s="10" t="s">
        <v>28</v>
      </c>
      <c r="F25" s="4"/>
      <c r="G25" s="7" t="s">
        <v>19</v>
      </c>
      <c r="H25" s="11"/>
      <c r="I25" s="4"/>
      <c r="J25" s="11" t="s">
        <v>73</v>
      </c>
    </row>
    <row r="26" customFormat="false" ht="15" hidden="false" customHeight="false" outlineLevel="0" collapsed="false">
      <c r="A26" s="4" t="n">
        <v>22</v>
      </c>
      <c r="B26" s="4" t="s">
        <v>12</v>
      </c>
      <c r="C26" s="4" t="s">
        <v>71</v>
      </c>
      <c r="D26" s="5" t="s">
        <v>74</v>
      </c>
      <c r="E26" s="10" t="s">
        <v>28</v>
      </c>
      <c r="F26" s="4"/>
      <c r="G26" s="7" t="s">
        <v>19</v>
      </c>
      <c r="H26" s="11"/>
      <c r="I26" s="4"/>
      <c r="J26" s="11" t="s">
        <v>75</v>
      </c>
    </row>
    <row r="27" customFormat="false" ht="15" hidden="false" customHeight="false" outlineLevel="0" collapsed="false">
      <c r="A27" s="4" t="n">
        <v>23</v>
      </c>
      <c r="B27" s="4" t="s">
        <v>12</v>
      </c>
      <c r="C27" s="4" t="s">
        <v>76</v>
      </c>
      <c r="D27" s="5" t="s">
        <v>77</v>
      </c>
      <c r="E27" s="12" t="s">
        <v>33</v>
      </c>
      <c r="F27" s="7" t="s">
        <v>34</v>
      </c>
      <c r="G27" s="7" t="s">
        <v>19</v>
      </c>
      <c r="H27" s="11"/>
      <c r="I27" s="4"/>
      <c r="J27" s="11" t="s">
        <v>78</v>
      </c>
    </row>
    <row r="28" customFormat="false" ht="15" hidden="false" customHeight="false" outlineLevel="0" collapsed="false">
      <c r="A28" s="4" t="n">
        <v>24</v>
      </c>
      <c r="B28" s="4" t="s">
        <v>12</v>
      </c>
      <c r="C28" s="4" t="s">
        <v>79</v>
      </c>
      <c r="D28" s="5" t="s">
        <v>80</v>
      </c>
      <c r="E28" s="10" t="s">
        <v>28</v>
      </c>
      <c r="F28" s="4"/>
      <c r="G28" s="7" t="s">
        <v>19</v>
      </c>
      <c r="H28" s="11"/>
      <c r="I28" s="4"/>
      <c r="J28" s="11" t="s">
        <v>81</v>
      </c>
    </row>
    <row r="29" customFormat="false" ht="15" hidden="false" customHeight="false" outlineLevel="0" collapsed="false">
      <c r="A29" s="4" t="n">
        <v>25</v>
      </c>
      <c r="B29" s="4" t="s">
        <v>12</v>
      </c>
      <c r="C29" s="4" t="s">
        <v>82</v>
      </c>
      <c r="D29" s="5" t="s">
        <v>19</v>
      </c>
      <c r="E29" s="10" t="s">
        <v>28</v>
      </c>
      <c r="F29" s="4"/>
      <c r="G29" s="7" t="s">
        <v>16</v>
      </c>
      <c r="H29" s="11"/>
      <c r="I29" s="4"/>
      <c r="J29" s="11" t="s">
        <v>83</v>
      </c>
    </row>
    <row r="30" customFormat="false" ht="15" hidden="false" customHeight="false" outlineLevel="0" collapsed="false">
      <c r="A30" s="4" t="n">
        <v>26</v>
      </c>
      <c r="B30" s="4" t="s">
        <v>12</v>
      </c>
      <c r="C30" s="4" t="s">
        <v>84</v>
      </c>
      <c r="D30" s="5" t="s">
        <v>85</v>
      </c>
      <c r="E30" s="10" t="s">
        <v>28</v>
      </c>
      <c r="F30" s="4"/>
      <c r="G30" s="7" t="s">
        <v>19</v>
      </c>
      <c r="H30" s="11"/>
      <c r="I30" s="4"/>
      <c r="J30" s="11" t="s">
        <v>86</v>
      </c>
    </row>
    <row r="31" customFormat="false" ht="15" hidden="false" customHeight="false" outlineLevel="0" collapsed="false">
      <c r="A31" s="4" t="n">
        <v>27</v>
      </c>
      <c r="B31" s="4" t="s">
        <v>12</v>
      </c>
      <c r="C31" s="4" t="s">
        <v>84</v>
      </c>
      <c r="D31" s="5" t="s">
        <v>87</v>
      </c>
      <c r="E31" s="10" t="s">
        <v>28</v>
      </c>
      <c r="F31" s="4"/>
      <c r="G31" s="7" t="s">
        <v>19</v>
      </c>
      <c r="H31" s="11"/>
      <c r="I31" s="4"/>
      <c r="J31" s="11" t="s">
        <v>88</v>
      </c>
    </row>
    <row r="32" customFormat="false" ht="15" hidden="false" customHeight="false" outlineLevel="0" collapsed="false">
      <c r="A32" s="4" t="n">
        <v>28</v>
      </c>
      <c r="B32" s="4" t="s">
        <v>12</v>
      </c>
      <c r="C32" s="4" t="s">
        <v>89</v>
      </c>
      <c r="D32" s="5" t="s">
        <v>90</v>
      </c>
      <c r="E32" s="9" t="s">
        <v>25</v>
      </c>
      <c r="F32" s="4"/>
      <c r="G32" s="7" t="s">
        <v>19</v>
      </c>
      <c r="H32" s="11"/>
      <c r="I32" s="4"/>
      <c r="J32" s="11" t="s">
        <v>91</v>
      </c>
    </row>
    <row r="33" customFormat="false" ht="15" hidden="false" customHeight="false" outlineLevel="0" collapsed="false">
      <c r="A33" s="4" t="n">
        <v>29</v>
      </c>
      <c r="B33" s="4" t="s">
        <v>12</v>
      </c>
      <c r="C33" s="4" t="s">
        <v>92</v>
      </c>
      <c r="D33" s="5" t="s">
        <v>93</v>
      </c>
      <c r="E33" s="9" t="s">
        <v>25</v>
      </c>
      <c r="F33" s="4"/>
      <c r="G33" s="7" t="s">
        <v>19</v>
      </c>
      <c r="H33" s="11"/>
      <c r="I33" s="4"/>
      <c r="J33" s="11" t="s">
        <v>94</v>
      </c>
    </row>
    <row r="34" customFormat="false" ht="15" hidden="false" customHeight="false" outlineLevel="0" collapsed="false">
      <c r="A34" s="4" t="n">
        <v>30</v>
      </c>
      <c r="B34" s="4" t="s">
        <v>12</v>
      </c>
      <c r="C34" s="4" t="s">
        <v>95</v>
      </c>
      <c r="D34" s="5" t="s">
        <v>96</v>
      </c>
      <c r="E34" s="13" t="s">
        <v>69</v>
      </c>
      <c r="F34" s="4"/>
      <c r="G34" s="7" t="s">
        <v>19</v>
      </c>
      <c r="H34" s="11"/>
      <c r="I34" s="4"/>
      <c r="J34" s="11" t="s">
        <v>97</v>
      </c>
    </row>
    <row r="35" customFormat="false" ht="15" hidden="false" customHeight="false" outlineLevel="0" collapsed="false">
      <c r="A35" s="4" t="n">
        <v>31</v>
      </c>
      <c r="B35" s="4" t="s">
        <v>12</v>
      </c>
      <c r="C35" s="4" t="s">
        <v>95</v>
      </c>
      <c r="D35" s="5" t="s">
        <v>98</v>
      </c>
      <c r="E35" s="14" t="s">
        <v>99</v>
      </c>
      <c r="F35" s="4"/>
      <c r="G35" s="7" t="s">
        <v>19</v>
      </c>
      <c r="H35" s="11"/>
      <c r="I35" s="4"/>
      <c r="J35" s="11" t="s">
        <v>100</v>
      </c>
    </row>
    <row r="36" customFormat="false" ht="15" hidden="false" customHeight="false" outlineLevel="0" collapsed="false">
      <c r="A36" s="4" t="n">
        <v>32</v>
      </c>
      <c r="B36" s="4" t="s">
        <v>12</v>
      </c>
      <c r="C36" s="4" t="s">
        <v>101</v>
      </c>
      <c r="D36" s="5" t="s">
        <v>102</v>
      </c>
      <c r="E36" s="6" t="s">
        <v>15</v>
      </c>
      <c r="F36" s="4"/>
      <c r="G36" s="7" t="s">
        <v>19</v>
      </c>
      <c r="H36" s="11"/>
      <c r="I36" s="4"/>
      <c r="J36" s="11" t="s">
        <v>103</v>
      </c>
    </row>
    <row r="37" customFormat="false" ht="15" hidden="false" customHeight="false" outlineLevel="0" collapsed="false">
      <c r="A37" s="4" t="n">
        <v>33</v>
      </c>
      <c r="B37" s="4" t="s">
        <v>12</v>
      </c>
      <c r="C37" s="4" t="s">
        <v>104</v>
      </c>
      <c r="D37" s="5" t="s">
        <v>77</v>
      </c>
      <c r="E37" s="12" t="s">
        <v>33</v>
      </c>
      <c r="F37" s="7" t="s">
        <v>34</v>
      </c>
      <c r="G37" s="7" t="s">
        <v>19</v>
      </c>
      <c r="H37" s="11"/>
      <c r="I37" s="4"/>
      <c r="J37" s="11" t="s">
        <v>105</v>
      </c>
    </row>
    <row r="38" customFormat="false" ht="15" hidden="false" customHeight="false" outlineLevel="0" collapsed="false">
      <c r="A38" s="4" t="n">
        <v>34</v>
      </c>
      <c r="B38" s="4" t="s">
        <v>12</v>
      </c>
      <c r="C38" s="4" t="s">
        <v>106</v>
      </c>
      <c r="D38" s="5" t="s">
        <v>107</v>
      </c>
      <c r="E38" s="12" t="s">
        <v>33</v>
      </c>
      <c r="F38" s="7" t="s">
        <v>34</v>
      </c>
      <c r="G38" s="7" t="s">
        <v>19</v>
      </c>
      <c r="H38" s="11"/>
      <c r="I38" s="4"/>
      <c r="J38" s="11" t="s">
        <v>108</v>
      </c>
    </row>
    <row r="39" customFormat="false" ht="15" hidden="false" customHeight="false" outlineLevel="0" collapsed="false">
      <c r="A39" s="4" t="n">
        <v>35</v>
      </c>
      <c r="B39" s="4" t="s">
        <v>12</v>
      </c>
      <c r="C39" s="4" t="s">
        <v>109</v>
      </c>
      <c r="D39" s="5" t="s">
        <v>14</v>
      </c>
      <c r="E39" s="6" t="s">
        <v>15</v>
      </c>
      <c r="F39" s="4"/>
      <c r="G39" s="7" t="s">
        <v>16</v>
      </c>
      <c r="H39" s="11"/>
      <c r="I39" s="4"/>
      <c r="J39" s="11" t="s">
        <v>110</v>
      </c>
    </row>
    <row r="40" customFormat="false" ht="15" hidden="false" customHeight="false" outlineLevel="0" collapsed="false">
      <c r="A40" s="4" t="n">
        <v>36</v>
      </c>
      <c r="B40" s="4" t="s">
        <v>12</v>
      </c>
      <c r="C40" s="4" t="s">
        <v>111</v>
      </c>
      <c r="D40" s="5" t="s">
        <v>19</v>
      </c>
      <c r="E40" s="6" t="s">
        <v>15</v>
      </c>
      <c r="F40" s="4"/>
      <c r="G40" s="7" t="s">
        <v>19</v>
      </c>
      <c r="H40" s="11"/>
      <c r="I40" s="4"/>
      <c r="J40" s="11" t="s">
        <v>112</v>
      </c>
    </row>
    <row r="41" customFormat="false" ht="15" hidden="false" customHeight="false" outlineLevel="0" collapsed="false">
      <c r="A41" s="4" t="n">
        <v>37</v>
      </c>
      <c r="B41" s="4" t="s">
        <v>12</v>
      </c>
      <c r="C41" s="4" t="s">
        <v>111</v>
      </c>
      <c r="D41" s="5" t="s">
        <v>113</v>
      </c>
      <c r="E41" s="10" t="s">
        <v>28</v>
      </c>
      <c r="F41" s="4"/>
      <c r="G41" s="7" t="s">
        <v>19</v>
      </c>
      <c r="H41" s="11"/>
      <c r="I41" s="4"/>
      <c r="J41" s="11" t="s">
        <v>114</v>
      </c>
    </row>
    <row r="42" customFormat="false" ht="15" hidden="false" customHeight="false" outlineLevel="0" collapsed="false">
      <c r="A42" s="4" t="n">
        <v>38</v>
      </c>
      <c r="B42" s="4" t="s">
        <v>12</v>
      </c>
      <c r="C42" s="4" t="s">
        <v>115</v>
      </c>
      <c r="D42" s="5" t="s">
        <v>116</v>
      </c>
      <c r="E42" s="10" t="s">
        <v>28</v>
      </c>
      <c r="F42" s="4"/>
      <c r="G42" s="7" t="s">
        <v>19</v>
      </c>
      <c r="H42" s="11"/>
      <c r="I42" s="4"/>
      <c r="J42" s="11" t="s">
        <v>117</v>
      </c>
    </row>
    <row r="43" customFormat="false" ht="15" hidden="false" customHeight="false" outlineLevel="0" collapsed="false">
      <c r="A43" s="4" t="n">
        <v>39</v>
      </c>
      <c r="B43" s="4" t="s">
        <v>12</v>
      </c>
      <c r="C43" s="4" t="s">
        <v>118</v>
      </c>
      <c r="D43" s="5" t="s">
        <v>119</v>
      </c>
      <c r="E43" s="9" t="s">
        <v>25</v>
      </c>
      <c r="F43" s="4"/>
      <c r="G43" s="7" t="s">
        <v>19</v>
      </c>
      <c r="H43" s="11"/>
      <c r="I43" s="4"/>
      <c r="J43" s="11" t="s">
        <v>120</v>
      </c>
    </row>
    <row r="44" customFormat="false" ht="15" hidden="false" customHeight="false" outlineLevel="0" collapsed="false">
      <c r="A44" s="4" t="n">
        <v>40</v>
      </c>
      <c r="B44" s="4" t="s">
        <v>12</v>
      </c>
      <c r="C44" s="4" t="s">
        <v>121</v>
      </c>
      <c r="D44" s="5" t="s">
        <v>122</v>
      </c>
      <c r="E44" s="12" t="s">
        <v>33</v>
      </c>
      <c r="F44" s="7" t="s">
        <v>34</v>
      </c>
      <c r="G44" s="7" t="s">
        <v>123</v>
      </c>
      <c r="H44" s="11"/>
      <c r="I44" s="4"/>
      <c r="J44" s="11" t="s">
        <v>124</v>
      </c>
    </row>
    <row r="45" customFormat="false" ht="15" hidden="false" customHeight="false" outlineLevel="0" collapsed="false">
      <c r="A45" s="4" t="n">
        <v>41</v>
      </c>
      <c r="B45" s="4" t="s">
        <v>12</v>
      </c>
      <c r="C45" s="4" t="s">
        <v>125</v>
      </c>
      <c r="D45" s="5" t="s">
        <v>126</v>
      </c>
      <c r="E45" s="9" t="s">
        <v>25</v>
      </c>
      <c r="F45" s="4"/>
      <c r="G45" s="7" t="s">
        <v>19</v>
      </c>
      <c r="H45" s="11"/>
      <c r="I45" s="4"/>
      <c r="J45" s="11" t="s">
        <v>127</v>
      </c>
    </row>
    <row r="46" customFormat="false" ht="15" hidden="false" customHeight="false" outlineLevel="0" collapsed="false">
      <c r="A46" s="4" t="n">
        <v>42</v>
      </c>
      <c r="B46" s="4" t="s">
        <v>12</v>
      </c>
      <c r="C46" s="4" t="s">
        <v>128</v>
      </c>
      <c r="D46" s="5" t="s">
        <v>19</v>
      </c>
      <c r="E46" s="6" t="s">
        <v>15</v>
      </c>
      <c r="F46" s="4"/>
      <c r="G46" s="7" t="s">
        <v>19</v>
      </c>
      <c r="H46" s="11"/>
      <c r="I46" s="4"/>
      <c r="J46" s="11" t="s">
        <v>129</v>
      </c>
    </row>
    <row r="47" customFormat="false" ht="15" hidden="false" customHeight="false" outlineLevel="0" collapsed="false">
      <c r="A47" s="4" t="n">
        <v>43</v>
      </c>
      <c r="B47" s="4" t="s">
        <v>12</v>
      </c>
      <c r="C47" s="4" t="s">
        <v>130</v>
      </c>
      <c r="D47" s="5" t="s">
        <v>19</v>
      </c>
      <c r="E47" s="6" t="s">
        <v>15</v>
      </c>
      <c r="F47" s="4"/>
      <c r="G47" s="7" t="s">
        <v>19</v>
      </c>
      <c r="H47" s="11"/>
      <c r="I47" s="4"/>
      <c r="J47" s="11" t="s">
        <v>131</v>
      </c>
    </row>
    <row r="48" customFormat="false" ht="15" hidden="false" customHeight="false" outlineLevel="0" collapsed="false">
      <c r="A48" s="4" t="n">
        <v>44</v>
      </c>
      <c r="B48" s="4" t="s">
        <v>12</v>
      </c>
      <c r="C48" s="4" t="s">
        <v>132</v>
      </c>
      <c r="D48" s="5" t="s">
        <v>133</v>
      </c>
      <c r="E48" s="12" t="s">
        <v>33</v>
      </c>
      <c r="F48" s="7" t="s">
        <v>69</v>
      </c>
      <c r="G48" s="7" t="s">
        <v>19</v>
      </c>
      <c r="H48" s="11"/>
      <c r="I48" s="4"/>
      <c r="J48" s="11" t="s">
        <v>134</v>
      </c>
    </row>
    <row r="49" customFormat="false" ht="15" hidden="false" customHeight="false" outlineLevel="0" collapsed="false">
      <c r="A49" s="4" t="n">
        <v>45</v>
      </c>
      <c r="B49" s="4" t="s">
        <v>135</v>
      </c>
      <c r="C49" s="4" t="s">
        <v>136</v>
      </c>
      <c r="D49" s="11" t="s">
        <v>137</v>
      </c>
      <c r="E49" s="12" t="s">
        <v>33</v>
      </c>
      <c r="F49" s="4"/>
      <c r="G49" s="7" t="s">
        <v>19</v>
      </c>
      <c r="H49" s="11"/>
      <c r="I49" s="4"/>
      <c r="J49" s="11" t="s">
        <v>138</v>
      </c>
    </row>
    <row r="50" customFormat="false" ht="15" hidden="false" customHeight="false" outlineLevel="0" collapsed="false">
      <c r="A50" s="4" t="n">
        <v>46</v>
      </c>
      <c r="B50" s="4" t="s">
        <v>135</v>
      </c>
      <c r="C50" s="4" t="s">
        <v>136</v>
      </c>
      <c r="D50" s="11" t="s">
        <v>139</v>
      </c>
      <c r="E50" s="12" t="s">
        <v>33</v>
      </c>
      <c r="F50" s="4"/>
      <c r="G50" s="7" t="s">
        <v>19</v>
      </c>
      <c r="H50" s="11"/>
      <c r="I50" s="4"/>
      <c r="J50" s="11" t="s">
        <v>140</v>
      </c>
    </row>
    <row r="51" customFormat="false" ht="15" hidden="false" customHeight="false" outlineLevel="0" collapsed="false">
      <c r="A51" s="4" t="n">
        <v>47</v>
      </c>
      <c r="B51" s="4" t="s">
        <v>135</v>
      </c>
      <c r="C51" s="4" t="s">
        <v>141</v>
      </c>
      <c r="D51" s="5" t="s">
        <v>142</v>
      </c>
      <c r="E51" s="12" t="s">
        <v>33</v>
      </c>
      <c r="F51" s="7" t="s">
        <v>69</v>
      </c>
      <c r="G51" s="7" t="s">
        <v>16</v>
      </c>
      <c r="H51" s="11"/>
      <c r="I51" s="4"/>
      <c r="J51" s="11" t="s">
        <v>143</v>
      </c>
    </row>
    <row r="52" customFormat="false" ht="15" hidden="false" customHeight="false" outlineLevel="0" collapsed="false">
      <c r="A52" s="4" t="n">
        <v>48</v>
      </c>
      <c r="B52" s="4" t="s">
        <v>135</v>
      </c>
      <c r="C52" s="4" t="s">
        <v>144</v>
      </c>
      <c r="D52" s="5" t="s">
        <v>145</v>
      </c>
      <c r="E52" s="12" t="s">
        <v>33</v>
      </c>
      <c r="F52" s="4"/>
      <c r="G52" s="7" t="s">
        <v>16</v>
      </c>
      <c r="H52" s="11"/>
      <c r="I52" s="4"/>
      <c r="J52" s="11" t="s">
        <v>146</v>
      </c>
    </row>
    <row r="53" customFormat="false" ht="15" hidden="false" customHeight="false" outlineLevel="0" collapsed="false">
      <c r="A53" s="4" t="n">
        <v>49</v>
      </c>
      <c r="B53" s="4" t="s">
        <v>135</v>
      </c>
      <c r="C53" s="4" t="s">
        <v>147</v>
      </c>
      <c r="D53" s="5" t="s">
        <v>148</v>
      </c>
      <c r="E53" s="12" t="s">
        <v>33</v>
      </c>
      <c r="F53" s="7" t="s">
        <v>69</v>
      </c>
      <c r="G53" s="7" t="s">
        <v>19</v>
      </c>
      <c r="H53" s="11"/>
      <c r="I53" s="4"/>
      <c r="J53" s="11" t="s">
        <v>149</v>
      </c>
    </row>
    <row r="54" customFormat="false" ht="15" hidden="false" customHeight="false" outlineLevel="0" collapsed="false">
      <c r="A54" s="4" t="n">
        <v>50</v>
      </c>
      <c r="B54" s="4" t="s">
        <v>135</v>
      </c>
      <c r="C54" s="4" t="s">
        <v>150</v>
      </c>
      <c r="D54" s="5" t="s">
        <v>151</v>
      </c>
      <c r="E54" s="12" t="s">
        <v>33</v>
      </c>
      <c r="F54" s="4"/>
      <c r="G54" s="7" t="s">
        <v>19</v>
      </c>
      <c r="H54" s="11"/>
      <c r="I54" s="4"/>
      <c r="J54" s="11" t="s">
        <v>152</v>
      </c>
    </row>
    <row r="55" customFormat="false" ht="15" hidden="false" customHeight="false" outlineLevel="0" collapsed="false">
      <c r="A55" s="4" t="n">
        <v>51</v>
      </c>
      <c r="B55" s="4" t="s">
        <v>135</v>
      </c>
      <c r="C55" s="4" t="s">
        <v>153</v>
      </c>
      <c r="D55" s="5" t="s">
        <v>154</v>
      </c>
      <c r="E55" s="12" t="s">
        <v>33</v>
      </c>
      <c r="F55" s="7" t="s">
        <v>34</v>
      </c>
      <c r="G55" s="7" t="s">
        <v>19</v>
      </c>
      <c r="H55" s="11"/>
      <c r="I55" s="4"/>
      <c r="J55" s="11" t="s">
        <v>155</v>
      </c>
    </row>
    <row r="56" customFormat="false" ht="15" hidden="false" customHeight="false" outlineLevel="0" collapsed="false">
      <c r="A56" s="4" t="n">
        <v>52</v>
      </c>
      <c r="B56" s="4" t="s">
        <v>135</v>
      </c>
      <c r="C56" s="4" t="s">
        <v>156</v>
      </c>
      <c r="D56" s="5" t="s">
        <v>157</v>
      </c>
      <c r="E56" s="12" t="s">
        <v>33</v>
      </c>
      <c r="F56" s="7" t="s">
        <v>34</v>
      </c>
      <c r="G56" s="7" t="s">
        <v>19</v>
      </c>
      <c r="H56" s="11"/>
      <c r="I56" s="4"/>
      <c r="J56" s="11" t="s">
        <v>158</v>
      </c>
    </row>
    <row r="57" customFormat="false" ht="15" hidden="false" customHeight="false" outlineLevel="0" collapsed="false">
      <c r="A57" s="4" t="n">
        <v>53</v>
      </c>
      <c r="B57" s="4" t="s">
        <v>135</v>
      </c>
      <c r="C57" s="4" t="s">
        <v>159</v>
      </c>
      <c r="D57" s="5" t="s">
        <v>160</v>
      </c>
      <c r="E57" s="12" t="s">
        <v>33</v>
      </c>
      <c r="F57" s="4"/>
      <c r="G57" s="7" t="s">
        <v>16</v>
      </c>
      <c r="H57" s="11"/>
      <c r="I57" s="4"/>
      <c r="J57" s="11" t="s">
        <v>161</v>
      </c>
    </row>
    <row r="58" customFormat="false" ht="15" hidden="false" customHeight="false" outlineLevel="0" collapsed="false">
      <c r="A58" s="4" t="n">
        <v>54</v>
      </c>
      <c r="B58" s="4" t="s">
        <v>135</v>
      </c>
      <c r="C58" s="4" t="s">
        <v>159</v>
      </c>
      <c r="D58" s="5" t="s">
        <v>162</v>
      </c>
      <c r="E58" s="12" t="s">
        <v>33</v>
      </c>
      <c r="F58" s="4"/>
      <c r="G58" s="7" t="s">
        <v>16</v>
      </c>
      <c r="H58" s="11"/>
      <c r="I58" s="4"/>
      <c r="J58" s="11" t="s">
        <v>163</v>
      </c>
    </row>
    <row r="59" customFormat="false" ht="15" hidden="false" customHeight="false" outlineLevel="0" collapsed="false">
      <c r="A59" s="4" t="n">
        <v>55</v>
      </c>
      <c r="B59" s="4" t="s">
        <v>135</v>
      </c>
      <c r="C59" s="4" t="s">
        <v>164</v>
      </c>
      <c r="D59" s="5" t="s">
        <v>165</v>
      </c>
      <c r="E59" s="12" t="s">
        <v>33</v>
      </c>
      <c r="F59" s="7" t="s">
        <v>69</v>
      </c>
      <c r="G59" s="7" t="s">
        <v>16</v>
      </c>
      <c r="H59" s="11"/>
      <c r="I59" s="4"/>
      <c r="J59" s="11" t="s">
        <v>166</v>
      </c>
    </row>
    <row r="60" customFormat="false" ht="15" hidden="false" customHeight="false" outlineLevel="0" collapsed="false">
      <c r="A60" s="4" t="n">
        <v>56</v>
      </c>
      <c r="B60" s="4" t="s">
        <v>135</v>
      </c>
      <c r="C60" s="4" t="s">
        <v>167</v>
      </c>
      <c r="D60" s="5" t="s">
        <v>168</v>
      </c>
      <c r="E60" s="12" t="s">
        <v>33</v>
      </c>
      <c r="F60" s="4"/>
      <c r="G60" s="7" t="s">
        <v>16</v>
      </c>
      <c r="H60" s="11"/>
      <c r="I60" s="4"/>
      <c r="J60" s="11" t="s">
        <v>169</v>
      </c>
    </row>
    <row r="61" customFormat="false" ht="15" hidden="false" customHeight="false" outlineLevel="0" collapsed="false">
      <c r="A61" s="4" t="n">
        <v>57</v>
      </c>
      <c r="B61" s="4" t="s">
        <v>135</v>
      </c>
      <c r="C61" s="4" t="s">
        <v>170</v>
      </c>
      <c r="D61" s="5" t="s">
        <v>171</v>
      </c>
      <c r="E61" s="12" t="s">
        <v>33</v>
      </c>
      <c r="F61" s="4"/>
      <c r="G61" s="7" t="s">
        <v>19</v>
      </c>
      <c r="H61" s="11"/>
      <c r="I61" s="4"/>
      <c r="J61" s="11" t="s">
        <v>172</v>
      </c>
    </row>
    <row r="62" customFormat="false" ht="15" hidden="false" customHeight="false" outlineLevel="0" collapsed="false">
      <c r="A62" s="4" t="n">
        <v>58</v>
      </c>
      <c r="B62" s="4" t="s">
        <v>173</v>
      </c>
      <c r="C62" s="4" t="s">
        <v>174</v>
      </c>
      <c r="D62" s="5" t="s">
        <v>175</v>
      </c>
      <c r="E62" s="9" t="s">
        <v>25</v>
      </c>
      <c r="F62" s="4"/>
      <c r="G62" s="7" t="s">
        <v>176</v>
      </c>
      <c r="H62" s="5" t="s">
        <v>177</v>
      </c>
      <c r="I62" s="7" t="s">
        <v>178</v>
      </c>
      <c r="J62" s="11" t="s">
        <v>179</v>
      </c>
    </row>
    <row r="63" customFormat="false" ht="15" hidden="false" customHeight="false" outlineLevel="0" collapsed="false">
      <c r="A63" s="4" t="n">
        <v>59</v>
      </c>
      <c r="B63" s="4" t="s">
        <v>173</v>
      </c>
      <c r="C63" s="4" t="s">
        <v>180</v>
      </c>
      <c r="D63" s="5" t="s">
        <v>181</v>
      </c>
      <c r="E63" s="13" t="s">
        <v>69</v>
      </c>
      <c r="F63" s="4"/>
      <c r="G63" s="7" t="s">
        <v>123</v>
      </c>
      <c r="H63" s="5" t="s">
        <v>182</v>
      </c>
      <c r="I63" s="4"/>
      <c r="J63" s="11" t="s">
        <v>183</v>
      </c>
    </row>
    <row r="64" customFormat="false" ht="15" hidden="false" customHeight="false" outlineLevel="0" collapsed="false">
      <c r="A64" s="4" t="n">
        <v>60</v>
      </c>
      <c r="B64" s="4" t="s">
        <v>173</v>
      </c>
      <c r="C64" s="4" t="s">
        <v>184</v>
      </c>
      <c r="D64" s="5" t="s">
        <v>185</v>
      </c>
      <c r="E64" s="10" t="s">
        <v>28</v>
      </c>
      <c r="F64" s="4"/>
      <c r="G64" s="7" t="s">
        <v>16</v>
      </c>
      <c r="H64" s="5" t="s">
        <v>186</v>
      </c>
      <c r="I64" s="4"/>
      <c r="J64" s="11" t="s">
        <v>187</v>
      </c>
    </row>
    <row r="65" customFormat="false" ht="15" hidden="false" customHeight="false" outlineLevel="0" collapsed="false">
      <c r="A65" s="4" t="n">
        <v>61</v>
      </c>
      <c r="B65" s="4" t="s">
        <v>173</v>
      </c>
      <c r="C65" s="4" t="s">
        <v>188</v>
      </c>
      <c r="D65" s="5" t="s">
        <v>189</v>
      </c>
      <c r="E65" s="8" t="s">
        <v>22</v>
      </c>
      <c r="F65" s="4"/>
      <c r="G65" s="7" t="s">
        <v>19</v>
      </c>
      <c r="H65" s="5" t="s">
        <v>190</v>
      </c>
      <c r="I65" s="4"/>
      <c r="J65" s="11" t="s">
        <v>191</v>
      </c>
    </row>
    <row r="66" customFormat="false" ht="15" hidden="false" customHeight="false" outlineLevel="0" collapsed="false">
      <c r="A66" s="4" t="n">
        <v>62</v>
      </c>
      <c r="B66" s="4" t="s">
        <v>173</v>
      </c>
      <c r="C66" s="4" t="s">
        <v>192</v>
      </c>
      <c r="D66" s="5" t="s">
        <v>193</v>
      </c>
      <c r="E66" s="8" t="s">
        <v>22</v>
      </c>
      <c r="F66" s="4"/>
      <c r="G66" s="7" t="s">
        <v>16</v>
      </c>
      <c r="H66" s="5" t="s">
        <v>190</v>
      </c>
      <c r="I66" s="4"/>
      <c r="J66" s="11" t="s">
        <v>194</v>
      </c>
    </row>
    <row r="67" customFormat="false" ht="15" hidden="false" customHeight="false" outlineLevel="0" collapsed="false">
      <c r="A67" s="4" t="n">
        <v>63</v>
      </c>
      <c r="B67" s="4" t="s">
        <v>173</v>
      </c>
      <c r="C67" s="4" t="s">
        <v>192</v>
      </c>
      <c r="D67" s="5" t="s">
        <v>195</v>
      </c>
      <c r="E67" s="8" t="s">
        <v>22</v>
      </c>
      <c r="F67" s="4"/>
      <c r="G67" s="7" t="s">
        <v>123</v>
      </c>
      <c r="H67" s="5" t="s">
        <v>196</v>
      </c>
      <c r="I67" s="4"/>
      <c r="J67" s="11" t="s">
        <v>197</v>
      </c>
    </row>
    <row r="68" customFormat="false" ht="15" hidden="false" customHeight="false" outlineLevel="0" collapsed="false">
      <c r="A68" s="4" t="n">
        <v>64</v>
      </c>
      <c r="B68" s="4" t="s">
        <v>173</v>
      </c>
      <c r="C68" s="4" t="s">
        <v>198</v>
      </c>
      <c r="D68" s="5" t="s">
        <v>199</v>
      </c>
      <c r="E68" s="8" t="s">
        <v>22</v>
      </c>
      <c r="F68" s="4"/>
      <c r="G68" s="7" t="s">
        <v>19</v>
      </c>
      <c r="H68" s="5" t="s">
        <v>200</v>
      </c>
      <c r="I68" s="4"/>
      <c r="J68" s="11" t="s">
        <v>201</v>
      </c>
    </row>
    <row r="69" customFormat="false" ht="15" hidden="false" customHeight="false" outlineLevel="0" collapsed="false">
      <c r="A69" s="4" t="n">
        <v>65</v>
      </c>
      <c r="B69" s="4" t="s">
        <v>173</v>
      </c>
      <c r="C69" s="4" t="s">
        <v>202</v>
      </c>
      <c r="D69" s="5" t="s">
        <v>203</v>
      </c>
      <c r="E69" s="8" t="s">
        <v>22</v>
      </c>
      <c r="F69" s="4"/>
      <c r="G69" s="7" t="s">
        <v>19</v>
      </c>
      <c r="H69" s="5" t="s">
        <v>204</v>
      </c>
      <c r="I69" s="4"/>
      <c r="J69" s="11" t="s">
        <v>205</v>
      </c>
    </row>
    <row r="70" customFormat="false" ht="15" hidden="false" customHeight="false" outlineLevel="0" collapsed="false">
      <c r="A70" s="4" t="n">
        <v>66</v>
      </c>
      <c r="B70" s="4" t="s">
        <v>173</v>
      </c>
      <c r="C70" s="4" t="s">
        <v>206</v>
      </c>
      <c r="D70" s="5" t="s">
        <v>207</v>
      </c>
      <c r="E70" s="12" t="s">
        <v>33</v>
      </c>
      <c r="F70" s="7" t="s">
        <v>208</v>
      </c>
      <c r="G70" s="7" t="s">
        <v>19</v>
      </c>
      <c r="H70" s="11"/>
      <c r="I70" s="4"/>
      <c r="J70" s="11" t="s">
        <v>209</v>
      </c>
    </row>
    <row r="71" customFormat="false" ht="15" hidden="false" customHeight="false" outlineLevel="0" collapsed="false">
      <c r="A71" s="4" t="n">
        <v>67</v>
      </c>
      <c r="B71" s="4" t="s">
        <v>173</v>
      </c>
      <c r="C71" s="4" t="s">
        <v>206</v>
      </c>
      <c r="D71" s="5" t="s">
        <v>210</v>
      </c>
      <c r="E71" s="15" t="s">
        <v>208</v>
      </c>
      <c r="F71" s="4"/>
      <c r="G71" s="7" t="s">
        <v>16</v>
      </c>
      <c r="H71" s="11"/>
      <c r="I71" s="4"/>
      <c r="J71" s="11" t="s">
        <v>211</v>
      </c>
    </row>
    <row r="72" customFormat="false" ht="15" hidden="false" customHeight="false" outlineLevel="0" collapsed="false">
      <c r="A72" s="4" t="n">
        <v>68</v>
      </c>
      <c r="B72" s="4" t="s">
        <v>173</v>
      </c>
      <c r="C72" s="4" t="s">
        <v>212</v>
      </c>
      <c r="D72" s="5" t="s">
        <v>213</v>
      </c>
      <c r="E72" s="10" t="s">
        <v>28</v>
      </c>
      <c r="F72" s="4"/>
      <c r="G72" s="7" t="s">
        <v>19</v>
      </c>
      <c r="H72" s="11"/>
      <c r="I72" s="4"/>
      <c r="J72" s="11" t="s">
        <v>214</v>
      </c>
    </row>
    <row r="73" customFormat="false" ht="15" hidden="false" customHeight="false" outlineLevel="0" collapsed="false">
      <c r="A73" s="4" t="n">
        <v>69</v>
      </c>
      <c r="B73" s="4" t="s">
        <v>173</v>
      </c>
      <c r="C73" s="4" t="s">
        <v>215</v>
      </c>
      <c r="D73" s="5" t="s">
        <v>216</v>
      </c>
      <c r="E73" s="13" t="s">
        <v>69</v>
      </c>
      <c r="F73" s="4"/>
      <c r="G73" s="7" t="s">
        <v>123</v>
      </c>
      <c r="H73" s="5" t="s">
        <v>217</v>
      </c>
      <c r="I73" s="4"/>
      <c r="J73" s="11" t="s">
        <v>218</v>
      </c>
    </row>
    <row r="74" customFormat="false" ht="15" hidden="false" customHeight="false" outlineLevel="0" collapsed="false">
      <c r="A74" s="4" t="n">
        <v>70</v>
      </c>
      <c r="B74" s="4" t="s">
        <v>173</v>
      </c>
      <c r="C74" s="4" t="s">
        <v>219</v>
      </c>
      <c r="D74" s="5" t="s">
        <v>220</v>
      </c>
      <c r="E74" s="10" t="s">
        <v>28</v>
      </c>
      <c r="F74" s="7" t="s">
        <v>22</v>
      </c>
      <c r="G74" s="7" t="s">
        <v>123</v>
      </c>
      <c r="H74" s="5" t="s">
        <v>221</v>
      </c>
      <c r="I74" s="4"/>
      <c r="J74" s="11" t="s">
        <v>222</v>
      </c>
    </row>
    <row r="75" customFormat="false" ht="15" hidden="false" customHeight="false" outlineLevel="0" collapsed="false">
      <c r="A75" s="4" t="n">
        <v>71</v>
      </c>
      <c r="B75" s="4" t="s">
        <v>173</v>
      </c>
      <c r="C75" s="4" t="s">
        <v>223</v>
      </c>
      <c r="D75" s="5" t="s">
        <v>224</v>
      </c>
      <c r="E75" s="10" t="s">
        <v>28</v>
      </c>
      <c r="F75" s="4"/>
      <c r="G75" s="7" t="s">
        <v>19</v>
      </c>
      <c r="H75" s="5" t="s">
        <v>225</v>
      </c>
      <c r="I75" s="4"/>
      <c r="J75" s="11" t="s">
        <v>226</v>
      </c>
    </row>
    <row r="76" customFormat="false" ht="15" hidden="false" customHeight="false" outlineLevel="0" collapsed="false">
      <c r="A76" s="4" t="n">
        <v>72</v>
      </c>
      <c r="B76" s="4" t="s">
        <v>173</v>
      </c>
      <c r="C76" s="4" t="s">
        <v>227</v>
      </c>
      <c r="D76" s="5" t="s">
        <v>228</v>
      </c>
      <c r="E76" s="8" t="s">
        <v>22</v>
      </c>
      <c r="F76" s="4"/>
      <c r="G76" s="7" t="s">
        <v>19</v>
      </c>
      <c r="H76" s="5" t="s">
        <v>190</v>
      </c>
      <c r="I76" s="4"/>
      <c r="J76" s="11" t="s">
        <v>229</v>
      </c>
    </row>
    <row r="77" customFormat="false" ht="15" hidden="false" customHeight="false" outlineLevel="0" collapsed="false">
      <c r="A77" s="4" t="n">
        <v>73</v>
      </c>
      <c r="B77" s="4" t="s">
        <v>173</v>
      </c>
      <c r="C77" s="4" t="s">
        <v>227</v>
      </c>
      <c r="D77" s="5" t="s">
        <v>230</v>
      </c>
      <c r="E77" s="10" t="s">
        <v>28</v>
      </c>
      <c r="F77" s="4"/>
      <c r="G77" s="7" t="s">
        <v>19</v>
      </c>
      <c r="H77" s="5" t="s">
        <v>231</v>
      </c>
      <c r="I77" s="4"/>
      <c r="J77" s="11" t="s">
        <v>232</v>
      </c>
    </row>
    <row r="78" customFormat="false" ht="15" hidden="false" customHeight="false" outlineLevel="0" collapsed="false">
      <c r="A78" s="4" t="n">
        <v>74</v>
      </c>
      <c r="B78" s="4" t="s">
        <v>173</v>
      </c>
      <c r="C78" s="4" t="s">
        <v>233</v>
      </c>
      <c r="D78" s="5" t="s">
        <v>234</v>
      </c>
      <c r="E78" s="12" t="s">
        <v>33</v>
      </c>
      <c r="F78" s="7" t="s">
        <v>34</v>
      </c>
      <c r="G78" s="7" t="s">
        <v>19</v>
      </c>
      <c r="H78" s="5" t="s">
        <v>177</v>
      </c>
      <c r="I78" s="4"/>
      <c r="J78" s="11" t="s">
        <v>235</v>
      </c>
    </row>
    <row r="79" customFormat="false" ht="15" hidden="false" customHeight="false" outlineLevel="0" collapsed="false">
      <c r="A79" s="4" t="n">
        <v>75</v>
      </c>
      <c r="B79" s="4" t="s">
        <v>173</v>
      </c>
      <c r="C79" s="4" t="s">
        <v>236</v>
      </c>
      <c r="D79" s="5" t="s">
        <v>237</v>
      </c>
      <c r="E79" s="16" t="s">
        <v>238</v>
      </c>
      <c r="F79" s="4"/>
      <c r="G79" s="7" t="s">
        <v>19</v>
      </c>
      <c r="H79" s="5" t="s">
        <v>190</v>
      </c>
      <c r="I79" s="4"/>
      <c r="J79" s="11" t="s">
        <v>239</v>
      </c>
    </row>
    <row r="80" customFormat="false" ht="15" hidden="false" customHeight="false" outlineLevel="0" collapsed="false">
      <c r="A80" s="4" t="n">
        <v>76</v>
      </c>
      <c r="B80" s="4" t="s">
        <v>173</v>
      </c>
      <c r="C80" s="4" t="s">
        <v>240</v>
      </c>
      <c r="D80" s="5" t="s">
        <v>241</v>
      </c>
      <c r="E80" s="17" t="s">
        <v>34</v>
      </c>
      <c r="F80" s="4"/>
      <c r="G80" s="7" t="s">
        <v>19</v>
      </c>
      <c r="H80" s="5" t="s">
        <v>242</v>
      </c>
      <c r="I80" s="4"/>
      <c r="J80" s="11" t="s">
        <v>243</v>
      </c>
    </row>
    <row r="81" customFormat="false" ht="15" hidden="false" customHeight="false" outlineLevel="0" collapsed="false">
      <c r="A81" s="4" t="n">
        <v>77</v>
      </c>
      <c r="B81" s="4" t="s">
        <v>173</v>
      </c>
      <c r="C81" s="4" t="s">
        <v>244</v>
      </c>
      <c r="D81" s="5" t="s">
        <v>245</v>
      </c>
      <c r="E81" s="10" t="s">
        <v>28</v>
      </c>
      <c r="F81" s="7" t="s">
        <v>33</v>
      </c>
      <c r="G81" s="7" t="s">
        <v>19</v>
      </c>
      <c r="H81" s="5" t="s">
        <v>204</v>
      </c>
      <c r="I81" s="4"/>
      <c r="J81" s="11" t="s">
        <v>246</v>
      </c>
    </row>
    <row r="82" customFormat="false" ht="15" hidden="false" customHeight="false" outlineLevel="0" collapsed="false">
      <c r="A82" s="4" t="n">
        <v>78</v>
      </c>
      <c r="B82" s="4" t="s">
        <v>173</v>
      </c>
      <c r="C82" s="4" t="s">
        <v>247</v>
      </c>
      <c r="D82" s="5" t="s">
        <v>248</v>
      </c>
      <c r="E82" s="17" t="s">
        <v>34</v>
      </c>
      <c r="F82" s="4"/>
      <c r="G82" s="7" t="s">
        <v>19</v>
      </c>
      <c r="H82" s="5" t="s">
        <v>196</v>
      </c>
      <c r="I82" s="4"/>
      <c r="J82" s="11" t="s">
        <v>249</v>
      </c>
    </row>
    <row r="83" customFormat="false" ht="15" hidden="false" customHeight="false" outlineLevel="0" collapsed="false">
      <c r="A83" s="4" t="n">
        <v>79</v>
      </c>
      <c r="B83" s="4" t="s">
        <v>173</v>
      </c>
      <c r="C83" s="4" t="s">
        <v>247</v>
      </c>
      <c r="D83" s="5" t="s">
        <v>245</v>
      </c>
      <c r="E83" s="10" t="s">
        <v>28</v>
      </c>
      <c r="F83" s="7" t="s">
        <v>33</v>
      </c>
      <c r="G83" s="7" t="s">
        <v>19</v>
      </c>
      <c r="H83" s="5" t="s">
        <v>204</v>
      </c>
      <c r="I83" s="4"/>
      <c r="J83" s="11" t="s">
        <v>250</v>
      </c>
    </row>
    <row r="84" customFormat="false" ht="15" hidden="false" customHeight="false" outlineLevel="0" collapsed="false">
      <c r="A84" s="4" t="n">
        <v>80</v>
      </c>
      <c r="B84" s="4" t="s">
        <v>173</v>
      </c>
      <c r="C84" s="4" t="s">
        <v>251</v>
      </c>
      <c r="D84" s="5" t="s">
        <v>252</v>
      </c>
      <c r="E84" s="9" t="s">
        <v>25</v>
      </c>
      <c r="F84" s="4"/>
      <c r="G84" s="7" t="s">
        <v>19</v>
      </c>
      <c r="H84" s="5" t="s">
        <v>253</v>
      </c>
      <c r="I84" s="4"/>
      <c r="J84" s="11" t="s">
        <v>254</v>
      </c>
    </row>
    <row r="85" customFormat="false" ht="15" hidden="false" customHeight="false" outlineLevel="0" collapsed="false">
      <c r="A85" s="4" t="n">
        <v>81</v>
      </c>
      <c r="B85" s="4" t="s">
        <v>173</v>
      </c>
      <c r="C85" s="4" t="s">
        <v>255</v>
      </c>
      <c r="D85" s="11" t="s">
        <v>256</v>
      </c>
      <c r="E85" s="13" t="s">
        <v>69</v>
      </c>
      <c r="F85" s="7" t="s">
        <v>34</v>
      </c>
      <c r="G85" s="7" t="s">
        <v>19</v>
      </c>
      <c r="H85" s="5" t="s">
        <v>182</v>
      </c>
      <c r="I85" s="7" t="s">
        <v>178</v>
      </c>
      <c r="J85" s="11" t="s">
        <v>257</v>
      </c>
    </row>
    <row r="86" customFormat="false" ht="15" hidden="false" customHeight="false" outlineLevel="0" collapsed="false">
      <c r="A86" s="4" t="n">
        <v>82</v>
      </c>
      <c r="B86" s="4" t="s">
        <v>173</v>
      </c>
      <c r="C86" s="4" t="s">
        <v>258</v>
      </c>
      <c r="D86" s="5" t="s">
        <v>259</v>
      </c>
      <c r="E86" s="10" t="s">
        <v>28</v>
      </c>
      <c r="F86" s="7" t="s">
        <v>208</v>
      </c>
      <c r="G86" s="7" t="s">
        <v>16</v>
      </c>
      <c r="H86" s="5" t="s">
        <v>260</v>
      </c>
      <c r="I86" s="4"/>
      <c r="J86" s="11" t="s">
        <v>261</v>
      </c>
    </row>
    <row r="87" customFormat="false" ht="15" hidden="false" customHeight="false" outlineLevel="0" collapsed="false">
      <c r="A87" s="4" t="n">
        <v>83</v>
      </c>
      <c r="B87" s="4" t="s">
        <v>173</v>
      </c>
      <c r="C87" s="4" t="s">
        <v>262</v>
      </c>
      <c r="D87" s="5" t="s">
        <v>263</v>
      </c>
      <c r="E87" s="8" t="s">
        <v>22</v>
      </c>
      <c r="F87" s="4"/>
      <c r="G87" s="7" t="s">
        <v>19</v>
      </c>
      <c r="H87" s="5" t="s">
        <v>200</v>
      </c>
      <c r="I87" s="4"/>
      <c r="J87" s="11" t="s">
        <v>264</v>
      </c>
    </row>
    <row r="88" customFormat="false" ht="15" hidden="false" customHeight="false" outlineLevel="0" collapsed="false">
      <c r="A88" s="4" t="n">
        <v>84</v>
      </c>
      <c r="B88" s="4" t="s">
        <v>173</v>
      </c>
      <c r="C88" s="4" t="s">
        <v>265</v>
      </c>
      <c r="D88" s="5" t="s">
        <v>266</v>
      </c>
      <c r="E88" s="10" t="s">
        <v>28</v>
      </c>
      <c r="F88" s="7" t="s">
        <v>34</v>
      </c>
      <c r="G88" s="7" t="s">
        <v>19</v>
      </c>
      <c r="H88" s="5" t="s">
        <v>253</v>
      </c>
      <c r="I88" s="4"/>
      <c r="J88" s="11" t="s">
        <v>267</v>
      </c>
    </row>
    <row r="89" customFormat="false" ht="15" hidden="false" customHeight="false" outlineLevel="0" collapsed="false">
      <c r="A89" s="4" t="n">
        <v>85</v>
      </c>
      <c r="B89" s="4" t="s">
        <v>173</v>
      </c>
      <c r="C89" s="4" t="s">
        <v>268</v>
      </c>
      <c r="D89" s="5" t="s">
        <v>269</v>
      </c>
      <c r="E89" s="10" t="s">
        <v>28</v>
      </c>
      <c r="F89" s="4"/>
      <c r="G89" s="7" t="s">
        <v>19</v>
      </c>
      <c r="H89" s="5" t="s">
        <v>253</v>
      </c>
      <c r="I89" s="4"/>
      <c r="J89" s="11" t="s">
        <v>270</v>
      </c>
    </row>
    <row r="90" customFormat="false" ht="15" hidden="false" customHeight="false" outlineLevel="0" collapsed="false">
      <c r="A90" s="4" t="n">
        <v>86</v>
      </c>
      <c r="B90" s="4" t="s">
        <v>173</v>
      </c>
      <c r="C90" s="4" t="s">
        <v>271</v>
      </c>
      <c r="D90" s="5" t="s">
        <v>272</v>
      </c>
      <c r="E90" s="9" t="s">
        <v>25</v>
      </c>
      <c r="F90" s="4"/>
      <c r="G90" s="7" t="s">
        <v>19</v>
      </c>
      <c r="H90" s="5" t="s">
        <v>221</v>
      </c>
      <c r="I90" s="7" t="s">
        <v>178</v>
      </c>
      <c r="J90" s="11" t="s">
        <v>273</v>
      </c>
    </row>
    <row r="91" customFormat="false" ht="15" hidden="false" customHeight="false" outlineLevel="0" collapsed="false">
      <c r="A91" s="4" t="n">
        <v>87</v>
      </c>
      <c r="B91" s="4" t="s">
        <v>173</v>
      </c>
      <c r="C91" s="4" t="s">
        <v>274</v>
      </c>
      <c r="D91" s="11" t="s">
        <v>275</v>
      </c>
      <c r="E91" s="17" t="s">
        <v>34</v>
      </c>
      <c r="F91" s="4"/>
      <c r="G91" s="7" t="s">
        <v>276</v>
      </c>
      <c r="H91" s="11"/>
      <c r="I91" s="7" t="s">
        <v>178</v>
      </c>
      <c r="J91" s="11" t="s">
        <v>277</v>
      </c>
    </row>
    <row r="92" customFormat="false" ht="15" hidden="false" customHeight="false" outlineLevel="0" collapsed="false">
      <c r="A92" s="4" t="n">
        <v>88</v>
      </c>
      <c r="B92" s="4" t="s">
        <v>173</v>
      </c>
      <c r="C92" s="4" t="s">
        <v>278</v>
      </c>
      <c r="D92" s="5" t="s">
        <v>279</v>
      </c>
      <c r="E92" s="13" t="s">
        <v>69</v>
      </c>
      <c r="F92" s="4"/>
      <c r="G92" s="7" t="s">
        <v>276</v>
      </c>
      <c r="H92" s="5" t="s">
        <v>225</v>
      </c>
      <c r="I92" s="7" t="s">
        <v>178</v>
      </c>
      <c r="J92" s="11" t="s">
        <v>280</v>
      </c>
    </row>
    <row r="93" customFormat="false" ht="15" hidden="false" customHeight="false" outlineLevel="0" collapsed="false">
      <c r="A93" s="4" t="n">
        <v>89</v>
      </c>
      <c r="B93" s="4" t="s">
        <v>173</v>
      </c>
      <c r="C93" s="4" t="s">
        <v>281</v>
      </c>
      <c r="D93" s="5" t="s">
        <v>282</v>
      </c>
      <c r="E93" s="6" t="s">
        <v>15</v>
      </c>
      <c r="F93" s="4"/>
      <c r="G93" s="7" t="s">
        <v>19</v>
      </c>
      <c r="H93" s="5" t="s">
        <v>190</v>
      </c>
      <c r="I93" s="4"/>
      <c r="J93" s="11" t="s">
        <v>283</v>
      </c>
    </row>
    <row r="94" customFormat="false" ht="15" hidden="false" customHeight="false" outlineLevel="0" collapsed="false">
      <c r="A94" s="4" t="n">
        <v>90</v>
      </c>
      <c r="B94" s="4" t="s">
        <v>173</v>
      </c>
      <c r="C94" s="4" t="s">
        <v>284</v>
      </c>
      <c r="D94" s="5" t="s">
        <v>285</v>
      </c>
      <c r="E94" s="15" t="s">
        <v>208</v>
      </c>
      <c r="F94" s="4"/>
      <c r="G94" s="7" t="s">
        <v>19</v>
      </c>
      <c r="H94" s="5" t="s">
        <v>177</v>
      </c>
      <c r="I94" s="4"/>
      <c r="J94" s="11" t="s">
        <v>286</v>
      </c>
    </row>
    <row r="95" customFormat="false" ht="15" hidden="false" customHeight="false" outlineLevel="0" collapsed="false">
      <c r="A95" s="4" t="n">
        <v>91</v>
      </c>
      <c r="B95" s="4" t="s">
        <v>173</v>
      </c>
      <c r="C95" s="4" t="s">
        <v>287</v>
      </c>
      <c r="D95" s="11" t="s">
        <v>288</v>
      </c>
      <c r="E95" s="10" t="s">
        <v>28</v>
      </c>
      <c r="F95" s="4"/>
      <c r="G95" s="7" t="s">
        <v>19</v>
      </c>
      <c r="H95" s="5" t="s">
        <v>289</v>
      </c>
      <c r="I95" s="4"/>
      <c r="J95" s="11" t="s">
        <v>290</v>
      </c>
    </row>
    <row r="96" customFormat="false" ht="15" hidden="false" customHeight="false" outlineLevel="0" collapsed="false">
      <c r="A96" s="4" t="n">
        <v>92</v>
      </c>
      <c r="B96" s="4" t="s">
        <v>173</v>
      </c>
      <c r="C96" s="4" t="s">
        <v>291</v>
      </c>
      <c r="D96" s="5" t="s">
        <v>292</v>
      </c>
      <c r="E96" s="8" t="s">
        <v>22</v>
      </c>
      <c r="F96" s="4"/>
      <c r="G96" s="7" t="s">
        <v>19</v>
      </c>
      <c r="H96" s="5" t="s">
        <v>253</v>
      </c>
      <c r="I96" s="4"/>
      <c r="J96" s="11" t="s">
        <v>293</v>
      </c>
    </row>
    <row r="97" customFormat="false" ht="15" hidden="false" customHeight="false" outlineLevel="0" collapsed="false">
      <c r="A97" s="4" t="n">
        <v>93</v>
      </c>
      <c r="B97" s="4" t="s">
        <v>173</v>
      </c>
      <c r="C97" s="4" t="s">
        <v>294</v>
      </c>
      <c r="D97" s="5" t="s">
        <v>295</v>
      </c>
      <c r="E97" s="8" t="s">
        <v>22</v>
      </c>
      <c r="F97" s="4"/>
      <c r="G97" s="7" t="s">
        <v>296</v>
      </c>
      <c r="H97" s="5" t="s">
        <v>253</v>
      </c>
      <c r="I97" s="4"/>
      <c r="J97" s="11" t="s">
        <v>297</v>
      </c>
    </row>
    <row r="98" customFormat="false" ht="15" hidden="false" customHeight="false" outlineLevel="0" collapsed="false">
      <c r="A98" s="4" t="n">
        <v>94</v>
      </c>
      <c r="B98" s="4" t="s">
        <v>173</v>
      </c>
      <c r="C98" s="4" t="s">
        <v>298</v>
      </c>
      <c r="D98" s="5" t="s">
        <v>299</v>
      </c>
      <c r="E98" s="13" t="s">
        <v>69</v>
      </c>
      <c r="F98" s="4"/>
      <c r="G98" s="7" t="s">
        <v>19</v>
      </c>
      <c r="H98" s="5" t="s">
        <v>177</v>
      </c>
      <c r="I98" s="4"/>
      <c r="J98" s="11" t="s">
        <v>300</v>
      </c>
    </row>
    <row r="99" customFormat="false" ht="15" hidden="false" customHeight="false" outlineLevel="0" collapsed="false">
      <c r="A99" s="4" t="n">
        <v>95</v>
      </c>
      <c r="B99" s="4" t="s">
        <v>173</v>
      </c>
      <c r="C99" s="4" t="s">
        <v>301</v>
      </c>
      <c r="D99" s="5" t="s">
        <v>302</v>
      </c>
      <c r="E99" s="17" t="s">
        <v>34</v>
      </c>
      <c r="F99" s="4"/>
      <c r="G99" s="7" t="s">
        <v>19</v>
      </c>
      <c r="H99" s="5" t="s">
        <v>253</v>
      </c>
      <c r="I99" s="4"/>
      <c r="J99" s="11" t="s">
        <v>303</v>
      </c>
    </row>
    <row r="100" customFormat="false" ht="15" hidden="false" customHeight="false" outlineLevel="0" collapsed="false">
      <c r="A100" s="4" t="n">
        <v>96</v>
      </c>
      <c r="B100" s="4" t="s">
        <v>173</v>
      </c>
      <c r="C100" s="4" t="s">
        <v>304</v>
      </c>
      <c r="D100" s="5" t="s">
        <v>305</v>
      </c>
      <c r="E100" s="12" t="s">
        <v>33</v>
      </c>
      <c r="F100" s="7" t="s">
        <v>34</v>
      </c>
      <c r="G100" s="7" t="s">
        <v>19</v>
      </c>
      <c r="H100" s="5" t="s">
        <v>253</v>
      </c>
      <c r="I100" s="7" t="s">
        <v>178</v>
      </c>
      <c r="J100" s="11" t="s">
        <v>306</v>
      </c>
    </row>
    <row r="101" customFormat="false" ht="15" hidden="false" customHeight="false" outlineLevel="0" collapsed="false">
      <c r="A101" s="4" t="n">
        <v>97</v>
      </c>
      <c r="B101" s="4" t="s">
        <v>173</v>
      </c>
      <c r="C101" s="4" t="s">
        <v>307</v>
      </c>
      <c r="D101" s="5" t="s">
        <v>308</v>
      </c>
      <c r="E101" s="10" t="s">
        <v>28</v>
      </c>
      <c r="F101" s="4"/>
      <c r="G101" s="7" t="s">
        <v>19</v>
      </c>
      <c r="H101" s="5" t="s">
        <v>289</v>
      </c>
      <c r="I101" s="4"/>
      <c r="J101" s="11" t="s">
        <v>309</v>
      </c>
    </row>
    <row r="102" customFormat="false" ht="15" hidden="false" customHeight="false" outlineLevel="0" collapsed="false">
      <c r="A102" s="4" t="n">
        <v>98</v>
      </c>
      <c r="B102" s="4" t="s">
        <v>173</v>
      </c>
      <c r="C102" s="4" t="s">
        <v>310</v>
      </c>
      <c r="D102" s="5" t="s">
        <v>311</v>
      </c>
      <c r="E102" s="17" t="s">
        <v>34</v>
      </c>
      <c r="F102" s="4"/>
      <c r="G102" s="7" t="s">
        <v>19</v>
      </c>
      <c r="H102" s="5" t="s">
        <v>200</v>
      </c>
      <c r="I102" s="4"/>
      <c r="J102" s="11" t="s">
        <v>312</v>
      </c>
    </row>
    <row r="103" customFormat="false" ht="15" hidden="false" customHeight="false" outlineLevel="0" collapsed="false">
      <c r="A103" s="4" t="n">
        <v>99</v>
      </c>
      <c r="B103" s="4" t="s">
        <v>173</v>
      </c>
      <c r="C103" s="4" t="s">
        <v>313</v>
      </c>
      <c r="D103" s="5" t="s">
        <v>314</v>
      </c>
      <c r="E103" s="10" t="s">
        <v>28</v>
      </c>
      <c r="F103" s="4"/>
      <c r="G103" s="7" t="s">
        <v>19</v>
      </c>
      <c r="H103" s="5" t="s">
        <v>315</v>
      </c>
      <c r="I103" s="7" t="s">
        <v>178</v>
      </c>
      <c r="J103" s="11" t="s">
        <v>316</v>
      </c>
    </row>
    <row r="104" customFormat="false" ht="15" hidden="false" customHeight="false" outlineLevel="0" collapsed="false">
      <c r="A104" s="4" t="n">
        <v>100</v>
      </c>
      <c r="B104" s="4" t="s">
        <v>173</v>
      </c>
      <c r="C104" s="4" t="s">
        <v>317</v>
      </c>
      <c r="D104" s="5" t="s">
        <v>318</v>
      </c>
      <c r="E104" s="10" t="s">
        <v>28</v>
      </c>
      <c r="F104" s="4"/>
      <c r="G104" s="7" t="s">
        <v>19</v>
      </c>
      <c r="H104" s="5" t="s">
        <v>289</v>
      </c>
      <c r="I104" s="4"/>
      <c r="J104" s="11" t="s">
        <v>319</v>
      </c>
    </row>
    <row r="105" customFormat="false" ht="15" hidden="false" customHeight="false" outlineLevel="0" collapsed="false">
      <c r="A105" s="4" t="n">
        <v>101</v>
      </c>
      <c r="B105" s="4" t="s">
        <v>173</v>
      </c>
      <c r="C105" s="4" t="s">
        <v>317</v>
      </c>
      <c r="D105" s="5" t="s">
        <v>320</v>
      </c>
      <c r="E105" s="10" t="s">
        <v>28</v>
      </c>
      <c r="F105" s="4"/>
      <c r="G105" s="7" t="s">
        <v>19</v>
      </c>
      <c r="H105" s="5" t="s">
        <v>190</v>
      </c>
      <c r="I105" s="4"/>
      <c r="J105" s="11" t="s">
        <v>321</v>
      </c>
    </row>
    <row r="106" customFormat="false" ht="15" hidden="false" customHeight="false" outlineLevel="0" collapsed="false">
      <c r="A106" s="4" t="n">
        <v>102</v>
      </c>
      <c r="B106" s="4" t="s">
        <v>173</v>
      </c>
      <c r="C106" s="4" t="s">
        <v>322</v>
      </c>
      <c r="D106" s="5" t="s">
        <v>323</v>
      </c>
      <c r="E106" s="10" t="s">
        <v>28</v>
      </c>
      <c r="F106" s="4"/>
      <c r="G106" s="7" t="s">
        <v>19</v>
      </c>
      <c r="H106" s="5" t="s">
        <v>289</v>
      </c>
      <c r="I106" s="4"/>
      <c r="J106" s="11" t="s">
        <v>324</v>
      </c>
    </row>
    <row r="107" customFormat="false" ht="15" hidden="false" customHeight="false" outlineLevel="0" collapsed="false">
      <c r="A107" s="4" t="n">
        <v>103</v>
      </c>
      <c r="B107" s="4" t="s">
        <v>173</v>
      </c>
      <c r="C107" s="4" t="s">
        <v>325</v>
      </c>
      <c r="D107" s="5" t="s">
        <v>326</v>
      </c>
      <c r="E107" s="10" t="s">
        <v>28</v>
      </c>
      <c r="F107" s="4"/>
      <c r="G107" s="7" t="s">
        <v>19</v>
      </c>
      <c r="H107" s="5" t="s">
        <v>327</v>
      </c>
      <c r="I107" s="4"/>
      <c r="J107" s="11" t="s">
        <v>328</v>
      </c>
    </row>
    <row r="108" customFormat="false" ht="15" hidden="false" customHeight="false" outlineLevel="0" collapsed="false">
      <c r="A108" s="4" t="n">
        <v>104</v>
      </c>
      <c r="B108" s="4" t="s">
        <v>173</v>
      </c>
      <c r="C108" s="4" t="s">
        <v>329</v>
      </c>
      <c r="D108" s="5" t="s">
        <v>330</v>
      </c>
      <c r="E108" s="18" t="s">
        <v>331</v>
      </c>
      <c r="F108" s="7" t="s">
        <v>208</v>
      </c>
      <c r="G108" s="7" t="s">
        <v>19</v>
      </c>
      <c r="H108" s="5" t="s">
        <v>190</v>
      </c>
      <c r="I108" s="4"/>
      <c r="J108" s="11" t="s">
        <v>332</v>
      </c>
    </row>
    <row r="109" customFormat="false" ht="15" hidden="false" customHeight="false" outlineLevel="0" collapsed="false">
      <c r="A109" s="4" t="n">
        <v>105</v>
      </c>
      <c r="B109" s="4" t="s">
        <v>173</v>
      </c>
      <c r="C109" s="4" t="s">
        <v>329</v>
      </c>
      <c r="D109" s="5" t="s">
        <v>333</v>
      </c>
      <c r="E109" s="12" t="s">
        <v>33</v>
      </c>
      <c r="F109" s="7" t="s">
        <v>25</v>
      </c>
      <c r="G109" s="7" t="s">
        <v>19</v>
      </c>
      <c r="H109" s="5" t="s">
        <v>253</v>
      </c>
      <c r="I109" s="4"/>
      <c r="J109" s="11" t="s">
        <v>334</v>
      </c>
    </row>
    <row r="110" customFormat="false" ht="15" hidden="false" customHeight="false" outlineLevel="0" collapsed="false">
      <c r="A110" s="4" t="n">
        <v>106</v>
      </c>
      <c r="B110" s="4" t="s">
        <v>173</v>
      </c>
      <c r="C110" s="4" t="s">
        <v>335</v>
      </c>
      <c r="D110" s="5" t="s">
        <v>336</v>
      </c>
      <c r="E110" s="15" t="s">
        <v>208</v>
      </c>
      <c r="F110" s="4"/>
      <c r="G110" s="7" t="s">
        <v>19</v>
      </c>
      <c r="H110" s="5" t="s">
        <v>253</v>
      </c>
      <c r="I110" s="4"/>
      <c r="J110" s="11" t="s">
        <v>337</v>
      </c>
    </row>
    <row r="111" customFormat="false" ht="15" hidden="false" customHeight="false" outlineLevel="0" collapsed="false">
      <c r="A111" s="4" t="n">
        <v>107</v>
      </c>
      <c r="B111" s="4" t="s">
        <v>173</v>
      </c>
      <c r="C111" s="4" t="s">
        <v>338</v>
      </c>
      <c r="D111" s="5" t="s">
        <v>333</v>
      </c>
      <c r="E111" s="12" t="s">
        <v>33</v>
      </c>
      <c r="F111" s="7" t="s">
        <v>25</v>
      </c>
      <c r="G111" s="7" t="s">
        <v>19</v>
      </c>
      <c r="H111" s="5" t="s">
        <v>253</v>
      </c>
      <c r="I111" s="4"/>
      <c r="J111" s="11" t="s">
        <v>339</v>
      </c>
    </row>
    <row r="112" customFormat="false" ht="15" hidden="false" customHeight="false" outlineLevel="0" collapsed="false">
      <c r="A112" s="4" t="n">
        <v>108</v>
      </c>
      <c r="B112" s="4" t="s">
        <v>173</v>
      </c>
      <c r="C112" s="4" t="s">
        <v>340</v>
      </c>
      <c r="D112" s="5" t="s">
        <v>341</v>
      </c>
      <c r="E112" s="12" t="s">
        <v>33</v>
      </c>
      <c r="F112" s="7" t="s">
        <v>25</v>
      </c>
      <c r="G112" s="7" t="s">
        <v>19</v>
      </c>
      <c r="H112" s="5" t="s">
        <v>253</v>
      </c>
      <c r="I112" s="4"/>
      <c r="J112" s="11" t="s">
        <v>342</v>
      </c>
    </row>
    <row r="113" customFormat="false" ht="15" hidden="false" customHeight="false" outlineLevel="0" collapsed="false">
      <c r="A113" s="4" t="n">
        <v>109</v>
      </c>
      <c r="B113" s="4" t="s">
        <v>173</v>
      </c>
      <c r="C113" s="4" t="s">
        <v>343</v>
      </c>
      <c r="D113" s="5" t="s">
        <v>344</v>
      </c>
      <c r="E113" s="12" t="s">
        <v>33</v>
      </c>
      <c r="F113" s="7" t="s">
        <v>25</v>
      </c>
      <c r="G113" s="7" t="s">
        <v>19</v>
      </c>
      <c r="H113" s="5" t="s">
        <v>253</v>
      </c>
      <c r="I113" s="4"/>
      <c r="J113" s="11" t="s">
        <v>345</v>
      </c>
    </row>
    <row r="114" customFormat="false" ht="15" hidden="false" customHeight="false" outlineLevel="0" collapsed="false">
      <c r="A114" s="4" t="n">
        <v>110</v>
      </c>
      <c r="B114" s="4" t="s">
        <v>173</v>
      </c>
      <c r="C114" s="4" t="s">
        <v>346</v>
      </c>
      <c r="D114" s="5" t="s">
        <v>347</v>
      </c>
      <c r="E114" s="17" t="s">
        <v>34</v>
      </c>
      <c r="F114" s="4"/>
      <c r="G114" s="7" t="s">
        <v>19</v>
      </c>
      <c r="H114" s="5" t="s">
        <v>200</v>
      </c>
      <c r="I114" s="4"/>
      <c r="J114" s="11" t="s">
        <v>348</v>
      </c>
    </row>
    <row r="115" customFormat="false" ht="15" hidden="false" customHeight="false" outlineLevel="0" collapsed="false">
      <c r="A115" s="4" t="n">
        <v>111</v>
      </c>
      <c r="B115" s="4" t="s">
        <v>173</v>
      </c>
      <c r="C115" s="4" t="s">
        <v>349</v>
      </c>
      <c r="D115" s="5" t="s">
        <v>350</v>
      </c>
      <c r="E115" s="13" t="s">
        <v>69</v>
      </c>
      <c r="F115" s="7" t="s">
        <v>34</v>
      </c>
      <c r="G115" s="7" t="s">
        <v>276</v>
      </c>
      <c r="H115" s="5" t="s">
        <v>351</v>
      </c>
      <c r="I115" s="7" t="s">
        <v>178</v>
      </c>
      <c r="J115" s="11" t="s">
        <v>352</v>
      </c>
    </row>
    <row r="116" customFormat="false" ht="15" hidden="false" customHeight="false" outlineLevel="0" collapsed="false">
      <c r="A116" s="4" t="n">
        <v>112</v>
      </c>
      <c r="B116" s="4" t="s">
        <v>173</v>
      </c>
      <c r="C116" s="4" t="s">
        <v>353</v>
      </c>
      <c r="D116" s="11" t="s">
        <v>354</v>
      </c>
      <c r="E116" s="8" t="s">
        <v>22</v>
      </c>
      <c r="F116" s="7" t="s">
        <v>208</v>
      </c>
      <c r="G116" s="7" t="s">
        <v>19</v>
      </c>
      <c r="H116" s="5" t="s">
        <v>177</v>
      </c>
      <c r="I116" s="7" t="s">
        <v>178</v>
      </c>
      <c r="J116" s="11" t="s">
        <v>355</v>
      </c>
    </row>
    <row r="117" customFormat="false" ht="15" hidden="false" customHeight="false" outlineLevel="0" collapsed="false">
      <c r="A117" s="4" t="n">
        <v>113</v>
      </c>
      <c r="B117" s="4" t="s">
        <v>173</v>
      </c>
      <c r="C117" s="4" t="s">
        <v>356</v>
      </c>
      <c r="D117" s="5" t="s">
        <v>357</v>
      </c>
      <c r="E117" s="8" t="s">
        <v>22</v>
      </c>
      <c r="F117" s="7" t="s">
        <v>208</v>
      </c>
      <c r="G117" s="7" t="s">
        <v>19</v>
      </c>
      <c r="H117" s="5" t="s">
        <v>200</v>
      </c>
      <c r="I117" s="4"/>
      <c r="J117" s="11" t="s">
        <v>358</v>
      </c>
    </row>
    <row r="118" customFormat="false" ht="15" hidden="false" customHeight="false" outlineLevel="0" collapsed="false">
      <c r="A118" s="4" t="n">
        <v>114</v>
      </c>
      <c r="B118" s="4" t="s">
        <v>173</v>
      </c>
      <c r="C118" s="4" t="s">
        <v>359</v>
      </c>
      <c r="D118" s="5" t="s">
        <v>360</v>
      </c>
      <c r="E118" s="10" t="s">
        <v>28</v>
      </c>
      <c r="F118" s="7" t="s">
        <v>33</v>
      </c>
      <c r="G118" s="7" t="s">
        <v>19</v>
      </c>
      <c r="H118" s="5" t="s">
        <v>315</v>
      </c>
      <c r="I118" s="4"/>
      <c r="J118" s="11" t="s">
        <v>361</v>
      </c>
    </row>
    <row r="119" customFormat="false" ht="15" hidden="false" customHeight="false" outlineLevel="0" collapsed="false">
      <c r="A119" s="4" t="n">
        <v>115</v>
      </c>
      <c r="B119" s="4" t="s">
        <v>173</v>
      </c>
      <c r="C119" s="4" t="s">
        <v>362</v>
      </c>
      <c r="D119" s="5" t="s">
        <v>363</v>
      </c>
      <c r="E119" s="9" t="s">
        <v>25</v>
      </c>
      <c r="F119" s="4"/>
      <c r="G119" s="7" t="s">
        <v>19</v>
      </c>
      <c r="H119" s="5" t="s">
        <v>177</v>
      </c>
      <c r="I119" s="7" t="s">
        <v>178</v>
      </c>
      <c r="J119" s="11" t="s">
        <v>364</v>
      </c>
    </row>
    <row r="120" customFormat="false" ht="15" hidden="false" customHeight="false" outlineLevel="0" collapsed="false">
      <c r="A120" s="4" t="n">
        <v>116</v>
      </c>
      <c r="B120" s="4" t="s">
        <v>173</v>
      </c>
      <c r="C120" s="4" t="s">
        <v>365</v>
      </c>
      <c r="D120" s="5" t="s">
        <v>366</v>
      </c>
      <c r="E120" s="12" t="s">
        <v>33</v>
      </c>
      <c r="F120" s="4"/>
      <c r="G120" s="7" t="s">
        <v>19</v>
      </c>
      <c r="H120" s="11"/>
      <c r="I120" s="4"/>
      <c r="J120" s="11" t="s">
        <v>367</v>
      </c>
    </row>
  </sheetData>
  <autoFilter ref="A4:J120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30"/>
  </cols>
  <sheetData>
    <row r="1" customFormat="false" ht="30" hidden="false" customHeight="true" outlineLevel="0" collapsed="false">
      <c r="A1" s="1" t="s">
        <v>368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369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9" t="s">
        <v>370</v>
      </c>
      <c r="B4" s="20" t="s">
        <v>371</v>
      </c>
      <c r="C4" s="20" t="s">
        <v>372</v>
      </c>
      <c r="D4" s="20" t="s">
        <v>373</v>
      </c>
      <c r="E4" s="19" t="s">
        <v>374</v>
      </c>
      <c r="F4" s="19" t="s">
        <v>375</v>
      </c>
      <c r="G4" s="19" t="s">
        <v>376</v>
      </c>
      <c r="H4" s="19" t="s">
        <v>377</v>
      </c>
      <c r="I4" s="19" t="s">
        <v>378</v>
      </c>
    </row>
    <row r="5" customFormat="false" ht="15" hidden="false" customHeight="false" outlineLevel="0" collapsed="false">
      <c r="A5" s="21" t="s">
        <v>28</v>
      </c>
      <c r="B5" s="22" t="n">
        <f aca="false">COUNTIFS(新聞稿資料庫!E5:E120,A5,新聞稿資料庫!B5:B120,"2023")</f>
        <v>18</v>
      </c>
      <c r="C5" s="22" t="n">
        <f aca="false">COUNTIFS(新聞稿資料庫!E5:E120,A5,新聞稿資料庫!B5:B120,"2024")</f>
        <v>0</v>
      </c>
      <c r="D5" s="22" t="n">
        <f aca="false">COUNTIFS(新聞稿資料庫!E5:E120,A5,新聞稿資料庫!B5:B120,"2025")</f>
        <v>18</v>
      </c>
      <c r="E5" s="22" t="n">
        <f aca="false">SUM(B5:D5)</f>
        <v>36</v>
      </c>
      <c r="F5" s="22" t="n">
        <f aca="false">COUNTIFS(新聞稿資料庫!E5:E120,A5,新聞稿資料庫!G5:G120,"&lt;&gt;新聞稿")</f>
        <v>4</v>
      </c>
      <c r="G5" s="22" t="n">
        <f aca="false">COUNTIFS(新聞稿資料庫!E5:E120,A5,新聞稿資料庫!I5:I120,"有")</f>
        <v>1</v>
      </c>
      <c r="H5" s="23"/>
      <c r="I5" s="23"/>
    </row>
    <row r="6" customFormat="false" ht="15" hidden="false" customHeight="false" outlineLevel="0" collapsed="false">
      <c r="A6" s="24" t="s">
        <v>33</v>
      </c>
      <c r="B6" s="22" t="n">
        <f aca="false">COUNTIFS(新聞稿資料庫!E5:E120,A6,新聞稿資料庫!B5:B120,"2023")</f>
        <v>6</v>
      </c>
      <c r="C6" s="22" t="n">
        <f aca="false">COUNTIFS(新聞稿資料庫!E5:E120,A6,新聞稿資料庫!B5:B120,"2024")</f>
        <v>13</v>
      </c>
      <c r="D6" s="22" t="n">
        <f aca="false">COUNTIFS(新聞稿資料庫!E5:E120,A6,新聞稿資料庫!B5:B120,"2025")</f>
        <v>8</v>
      </c>
      <c r="E6" s="22" t="n">
        <f aca="false">SUM(B6:D6)</f>
        <v>27</v>
      </c>
      <c r="F6" s="22" t="n">
        <f aca="false">COUNTIFS(新聞稿資料庫!E5:E120,A6,新聞稿資料庫!G5:G120,"&lt;&gt;新聞稿")</f>
        <v>7</v>
      </c>
      <c r="G6" s="22" t="n">
        <f aca="false">COUNTIFS(新聞稿資料庫!E5:E120,A6,新聞稿資料庫!I5:I120,"有")</f>
        <v>1</v>
      </c>
      <c r="H6" s="23"/>
      <c r="I6" s="23"/>
    </row>
    <row r="7" customFormat="false" ht="15" hidden="false" customHeight="false" outlineLevel="0" collapsed="false">
      <c r="A7" s="25" t="s">
        <v>22</v>
      </c>
      <c r="B7" s="22" t="n">
        <f aca="false">COUNTIFS(新聞稿資料庫!E5:E120,A7,新聞稿資料庫!B5:B120,"2023")</f>
        <v>1</v>
      </c>
      <c r="C7" s="22" t="n">
        <f aca="false">COUNTIFS(新聞稿資料庫!E5:E120,A7,新聞稿資料庫!B5:B120,"2024")</f>
        <v>0</v>
      </c>
      <c r="D7" s="22" t="n">
        <f aca="false">COUNTIFS(新聞稿資料庫!E5:E120,A7,新聞稿資料庫!B5:B120,"2025")</f>
        <v>11</v>
      </c>
      <c r="E7" s="22" t="n">
        <f aca="false">SUM(B7:D7)</f>
        <v>12</v>
      </c>
      <c r="F7" s="22" t="n">
        <f aca="false">COUNTIFS(新聞稿資料庫!E5:E120,A7,新聞稿資料庫!G5:G120,"&lt;&gt;新聞稿")</f>
        <v>4</v>
      </c>
      <c r="G7" s="22" t="n">
        <f aca="false">COUNTIFS(新聞稿資料庫!E5:E120,A7,新聞稿資料庫!I5:I120,"有")</f>
        <v>1</v>
      </c>
      <c r="H7" s="23"/>
      <c r="I7" s="23"/>
    </row>
    <row r="8" customFormat="false" ht="15" hidden="false" customHeight="false" outlineLevel="0" collapsed="false">
      <c r="A8" s="26" t="s">
        <v>69</v>
      </c>
      <c r="B8" s="22" t="n">
        <f aca="false">COUNTIFS(新聞稿資料庫!E5:E120,A8,新聞稿資料庫!B5:B120,"2023")</f>
        <v>2</v>
      </c>
      <c r="C8" s="22" t="n">
        <f aca="false">COUNTIFS(新聞稿資料庫!E5:E120,A8,新聞稿資料庫!B5:B120,"2024")</f>
        <v>0</v>
      </c>
      <c r="D8" s="22" t="n">
        <f aca="false">COUNTIFS(新聞稿資料庫!E5:E120,A8,新聞稿資料庫!B5:B120,"2025")</f>
        <v>6</v>
      </c>
      <c r="E8" s="22" t="n">
        <f aca="false">SUM(B8:D8)</f>
        <v>8</v>
      </c>
      <c r="F8" s="22" t="n">
        <f aca="false">COUNTIFS(新聞稿資料庫!E5:E120,A8,新聞稿資料庫!G5:G120,"&lt;&gt;新聞稿")</f>
        <v>4</v>
      </c>
      <c r="G8" s="22" t="n">
        <f aca="false">COUNTIFS(新聞稿資料庫!E5:E120,A8,新聞稿資料庫!I5:I120,"有")</f>
        <v>3</v>
      </c>
      <c r="H8" s="23"/>
      <c r="I8" s="23"/>
    </row>
    <row r="9" customFormat="false" ht="15" hidden="false" customHeight="false" outlineLevel="0" collapsed="false">
      <c r="A9" s="27" t="s">
        <v>25</v>
      </c>
      <c r="B9" s="22" t="n">
        <f aca="false">COUNTIFS(新聞稿資料庫!E5:E120,A9,新聞稿資料庫!B5:B120,"2023")</f>
        <v>5</v>
      </c>
      <c r="C9" s="22" t="n">
        <f aca="false">COUNTIFS(新聞稿資料庫!E5:E120,A9,新聞稿資料庫!B5:B120,"2024")</f>
        <v>0</v>
      </c>
      <c r="D9" s="22" t="n">
        <f aca="false">COUNTIFS(新聞稿資料庫!E5:E120,A9,新聞稿資料庫!B5:B120,"2025")</f>
        <v>4</v>
      </c>
      <c r="E9" s="22" t="n">
        <f aca="false">SUM(B9:D9)</f>
        <v>9</v>
      </c>
      <c r="F9" s="22" t="n">
        <f aca="false">COUNTIFS(新聞稿資料庫!E5:E120,A9,新聞稿資料庫!G5:G120,"&lt;&gt;新聞稿")</f>
        <v>1</v>
      </c>
      <c r="G9" s="22" t="n">
        <f aca="false">COUNTIFS(新聞稿資料庫!E5:E120,A9,新聞稿資料庫!I5:I120,"有")</f>
        <v>3</v>
      </c>
      <c r="H9" s="23"/>
      <c r="I9" s="23"/>
    </row>
    <row r="10" customFormat="false" ht="15" hidden="false" customHeight="false" outlineLevel="0" collapsed="false">
      <c r="A10" s="28" t="s">
        <v>34</v>
      </c>
      <c r="B10" s="22" t="n">
        <f aca="false">COUNTIFS(新聞稿資料庫!E5:E120,A10,新聞稿資料庫!B5:B120,"2023")</f>
        <v>0</v>
      </c>
      <c r="C10" s="22" t="n">
        <f aca="false">COUNTIFS(新聞稿資料庫!E5:E120,A10,新聞稿資料庫!B5:B120,"2024")</f>
        <v>0</v>
      </c>
      <c r="D10" s="22" t="n">
        <f aca="false">COUNTIFS(新聞稿資料庫!E5:E120,A10,新聞稿資料庫!B5:B120,"2025")</f>
        <v>6</v>
      </c>
      <c r="E10" s="22" t="n">
        <f aca="false">SUM(B10:D10)</f>
        <v>6</v>
      </c>
      <c r="F10" s="22" t="n">
        <f aca="false">COUNTIFS(新聞稿資料庫!E5:E120,A10,新聞稿資料庫!G5:G120,"&lt;&gt;新聞稿")</f>
        <v>1</v>
      </c>
      <c r="G10" s="22" t="n">
        <f aca="false">COUNTIFS(新聞稿資料庫!E5:E120,A10,新聞稿資料庫!I5:I120,"有")</f>
        <v>1</v>
      </c>
      <c r="H10" s="23"/>
      <c r="I10" s="23"/>
    </row>
    <row r="11" customFormat="false" ht="15" hidden="false" customHeight="false" outlineLevel="0" collapsed="false">
      <c r="A11" s="29" t="s">
        <v>208</v>
      </c>
      <c r="B11" s="22" t="n">
        <f aca="false">COUNTIFS(新聞稿資料庫!E5:E120,A11,新聞稿資料庫!B5:B120,"2023")</f>
        <v>0</v>
      </c>
      <c r="C11" s="22" t="n">
        <f aca="false">COUNTIFS(新聞稿資料庫!E5:E120,A11,新聞稿資料庫!B5:B120,"2024")</f>
        <v>0</v>
      </c>
      <c r="D11" s="22" t="n">
        <f aca="false">COUNTIFS(新聞稿資料庫!E5:E120,A11,新聞稿資料庫!B5:B120,"2025")</f>
        <v>3</v>
      </c>
      <c r="E11" s="22" t="n">
        <f aca="false">SUM(B11:D11)</f>
        <v>3</v>
      </c>
      <c r="F11" s="22" t="n">
        <f aca="false">COUNTIFS(新聞稿資料庫!E5:E120,A11,新聞稿資料庫!G5:G120,"&lt;&gt;新聞稿")</f>
        <v>1</v>
      </c>
      <c r="G11" s="22" t="n">
        <f aca="false">COUNTIFS(新聞稿資料庫!E5:E120,A11,新聞稿資料庫!I5:I120,"有")</f>
        <v>0</v>
      </c>
      <c r="H11" s="23"/>
      <c r="I11" s="23"/>
    </row>
    <row r="12" customFormat="false" ht="15" hidden="false" customHeight="false" outlineLevel="0" collapsed="false">
      <c r="A12" s="30" t="s">
        <v>99</v>
      </c>
      <c r="B12" s="22" t="n">
        <f aca="false">COUNTIFS(新聞稿資料庫!E5:E120,A12,新聞稿資料庫!B5:B120,"2023")</f>
        <v>1</v>
      </c>
      <c r="C12" s="22" t="n">
        <f aca="false">COUNTIFS(新聞稿資料庫!E5:E120,A12,新聞稿資料庫!B5:B120,"2024")</f>
        <v>0</v>
      </c>
      <c r="D12" s="22" t="n">
        <f aca="false">COUNTIFS(新聞稿資料庫!E5:E120,A12,新聞稿資料庫!B5:B120,"2025")</f>
        <v>0</v>
      </c>
      <c r="E12" s="22" t="n">
        <f aca="false">SUM(B12:D12)</f>
        <v>1</v>
      </c>
      <c r="F12" s="22" t="n">
        <f aca="false">COUNTIFS(新聞稿資料庫!E5:E120,A12,新聞稿資料庫!G5:G120,"&lt;&gt;新聞稿")</f>
        <v>0</v>
      </c>
      <c r="G12" s="22" t="n">
        <f aca="false">COUNTIFS(新聞稿資料庫!E5:E120,A12,新聞稿資料庫!I5:I120,"有")</f>
        <v>0</v>
      </c>
      <c r="H12" s="23"/>
      <c r="I12" s="23"/>
    </row>
    <row r="13" customFormat="false" ht="15" hidden="false" customHeight="false" outlineLevel="0" collapsed="false">
      <c r="A13" s="31" t="s">
        <v>331</v>
      </c>
      <c r="B13" s="22" t="n">
        <f aca="false">COUNTIFS(新聞稿資料庫!E5:E120,A13,新聞稿資料庫!B5:B120,"2023")</f>
        <v>0</v>
      </c>
      <c r="C13" s="22" t="n">
        <f aca="false">COUNTIFS(新聞稿資料庫!E5:E120,A13,新聞稿資料庫!B5:B120,"2024")</f>
        <v>0</v>
      </c>
      <c r="D13" s="22" t="n">
        <f aca="false">COUNTIFS(新聞稿資料庫!E5:E120,A13,新聞稿資料庫!B5:B120,"2025")</f>
        <v>1</v>
      </c>
      <c r="E13" s="22" t="n">
        <f aca="false">SUM(B13:D13)</f>
        <v>1</v>
      </c>
      <c r="F13" s="22" t="n">
        <f aca="false">COUNTIFS(新聞稿資料庫!E5:E120,A13,新聞稿資料庫!G5:G120,"&lt;&gt;新聞稿")</f>
        <v>0</v>
      </c>
      <c r="G13" s="22" t="n">
        <f aca="false">COUNTIFS(新聞稿資料庫!E5:E120,A13,新聞稿資料庫!I5:I120,"有")</f>
        <v>0</v>
      </c>
      <c r="H13" s="23"/>
      <c r="I13" s="23"/>
    </row>
    <row r="14" customFormat="false" ht="15" hidden="false" customHeight="false" outlineLevel="0" collapsed="false">
      <c r="A14" s="32" t="s">
        <v>238</v>
      </c>
      <c r="B14" s="22" t="n">
        <f aca="false">COUNTIFS(新聞稿資料庫!E5:E120,A14,新聞稿資料庫!B5:B120,"2023")</f>
        <v>0</v>
      </c>
      <c r="C14" s="22" t="n">
        <f aca="false">COUNTIFS(新聞稿資料庫!E5:E120,A14,新聞稿資料庫!B5:B120,"2024")</f>
        <v>0</v>
      </c>
      <c r="D14" s="22" t="n">
        <f aca="false">COUNTIFS(新聞稿資料庫!E5:E120,A14,新聞稿資料庫!B5:B120,"2025")</f>
        <v>1</v>
      </c>
      <c r="E14" s="22" t="n">
        <f aca="false">SUM(B14:D14)</f>
        <v>1</v>
      </c>
      <c r="F14" s="22" t="n">
        <f aca="false">COUNTIFS(新聞稿資料庫!E5:E120,A14,新聞稿資料庫!G5:G120,"&lt;&gt;新聞稿")</f>
        <v>0</v>
      </c>
      <c r="G14" s="22" t="n">
        <f aca="false">COUNTIFS(新聞稿資料庫!E5:E120,A14,新聞稿資料庫!I5:I120,"有")</f>
        <v>0</v>
      </c>
      <c r="H14" s="23"/>
      <c r="I14" s="23"/>
    </row>
    <row r="15" customFormat="false" ht="15" hidden="false" customHeight="false" outlineLevel="0" collapsed="false">
      <c r="A15" s="33" t="s">
        <v>15</v>
      </c>
      <c r="B15" s="22" t="n">
        <f aca="false">COUNTIFS(新聞稿資料庫!E5:E120,A15,新聞稿資料庫!B5:B120,"2023")</f>
        <v>11</v>
      </c>
      <c r="C15" s="22" t="n">
        <f aca="false">COUNTIFS(新聞稿資料庫!E5:E120,A15,新聞稿資料庫!B5:B120,"2024")</f>
        <v>0</v>
      </c>
      <c r="D15" s="22" t="n">
        <f aca="false">COUNTIFS(新聞稿資料庫!E5:E120,A15,新聞稿資料庫!B5:B120,"2025")</f>
        <v>1</v>
      </c>
      <c r="E15" s="22" t="n">
        <f aca="false">SUM(B15:D15)</f>
        <v>12</v>
      </c>
      <c r="F15" s="22" t="n">
        <f aca="false">COUNTIFS(新聞稿資料庫!E5:E120,A15,新聞稿資料庫!G5:G120,"&lt;&gt;新聞稿")</f>
        <v>2</v>
      </c>
      <c r="G15" s="22" t="n">
        <f aca="false">COUNTIFS(新聞稿資料庫!E5:E120,A15,新聞稿資料庫!I5:I120,"有")</f>
        <v>0</v>
      </c>
      <c r="H15" s="23"/>
      <c r="I15" s="23"/>
    </row>
    <row r="16" customFormat="false" ht="15" hidden="false" customHeight="false" outlineLevel="0" collapsed="false">
      <c r="A16" s="34" t="s">
        <v>379</v>
      </c>
      <c r="B16" s="35" t="n">
        <f aca="false">SUM(B5:B15)</f>
        <v>44</v>
      </c>
      <c r="C16" s="35" t="n">
        <f aca="false">SUM(C5:C15)</f>
        <v>13</v>
      </c>
      <c r="D16" s="35" t="n">
        <f aca="false">SUM(D5:D15)</f>
        <v>59</v>
      </c>
      <c r="E16" s="35" t="n">
        <f aca="false">SUM(E5:E15)</f>
        <v>116</v>
      </c>
      <c r="F16" s="35" t="n">
        <f aca="false">SUM(F5:F15)</f>
        <v>24</v>
      </c>
      <c r="G16" s="35" t="n">
        <f aca="false">SUM(G5:G15)</f>
        <v>10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0"/>
  </cols>
  <sheetData>
    <row r="1" customFormat="false" ht="30" hidden="false" customHeight="true" outlineLevel="0" collapsed="false">
      <c r="A1" s="1" t="s">
        <v>380</v>
      </c>
      <c r="B1" s="1"/>
      <c r="C1" s="1"/>
      <c r="D1" s="1"/>
      <c r="E1" s="1"/>
    </row>
    <row r="3" customFormat="false" ht="15" hidden="false" customHeight="false" outlineLevel="0" collapsed="false">
      <c r="A3" s="19" t="s">
        <v>381</v>
      </c>
      <c r="B3" s="20" t="s">
        <v>371</v>
      </c>
      <c r="C3" s="20" t="s">
        <v>372</v>
      </c>
      <c r="D3" s="20" t="s">
        <v>373</v>
      </c>
      <c r="E3" s="19" t="s">
        <v>379</v>
      </c>
    </row>
    <row r="4" customFormat="false" ht="15" hidden="false" customHeight="false" outlineLevel="0" collapsed="false">
      <c r="A4" s="4" t="s">
        <v>382</v>
      </c>
      <c r="B4" s="22" t="n">
        <f aca="false">COUNTIFS(新聞稿資料庫!B5:B120,"2023",新聞稿資料庫!C5:C120,"2023/01/*")</f>
        <v>7</v>
      </c>
      <c r="C4" s="22" t="n">
        <f aca="false">COUNTIFS(新聞稿資料庫!B5:B120,"2024",新聞稿資料庫!C5:C120,"2024/01/*")</f>
        <v>2</v>
      </c>
      <c r="D4" s="22" t="n">
        <f aca="false">COUNTIFS(新聞稿資料庫!B5:B120,"2025",新聞稿資料庫!C5:C120,"2025/01/*")</f>
        <v>11</v>
      </c>
      <c r="E4" s="22" t="n">
        <f aca="false">SUM(B4:D4)</f>
        <v>20</v>
      </c>
    </row>
    <row r="5" customFormat="false" ht="15" hidden="false" customHeight="false" outlineLevel="0" collapsed="false">
      <c r="A5" s="4" t="s">
        <v>383</v>
      </c>
      <c r="B5" s="22" t="n">
        <f aca="false">COUNTIFS(新聞稿資料庫!B5:B120,"2023",新聞稿資料庫!C5:C120,"2023/02/*")</f>
        <v>1</v>
      </c>
      <c r="C5" s="22" t="n">
        <f aca="false">COUNTIFS(新聞稿資料庫!B5:B120,"2024",新聞稿資料庫!C5:C120,"2024/02/*")</f>
        <v>0</v>
      </c>
      <c r="D5" s="22" t="n">
        <f aca="false">COUNTIFS(新聞稿資料庫!B5:B120,"2025",新聞稿資料庫!C5:C120,"2025/02/*")</f>
        <v>2</v>
      </c>
      <c r="E5" s="22" t="n">
        <f aca="false">SUM(B5:D5)</f>
        <v>3</v>
      </c>
    </row>
    <row r="6" customFormat="false" ht="15" hidden="false" customHeight="false" outlineLevel="0" collapsed="false">
      <c r="A6" s="4" t="s">
        <v>384</v>
      </c>
      <c r="B6" s="22" t="n">
        <f aca="false">COUNTIFS(新聞稿資料庫!B5:B120,"2023",新聞稿資料庫!C5:C120,"2023/03/*")</f>
        <v>5</v>
      </c>
      <c r="C6" s="22" t="n">
        <f aca="false">COUNTIFS(新聞稿資料庫!B5:B120,"2024",新聞稿資料庫!C5:C120,"2024/03/*")</f>
        <v>1</v>
      </c>
      <c r="D6" s="22" t="n">
        <f aca="false">COUNTIFS(新聞稿資料庫!B5:B120,"2025",新聞稿資料庫!C5:C120,"2025/03/*")</f>
        <v>5</v>
      </c>
      <c r="E6" s="22" t="n">
        <f aca="false">SUM(B6:D6)</f>
        <v>11</v>
      </c>
    </row>
    <row r="7" customFormat="false" ht="15" hidden="false" customHeight="false" outlineLevel="0" collapsed="false">
      <c r="A7" s="4" t="s">
        <v>385</v>
      </c>
      <c r="B7" s="22" t="n">
        <f aca="false">COUNTIFS(新聞稿資料庫!B5:B120,"2023",新聞稿資料庫!C5:C120,"2023/04/*")</f>
        <v>0</v>
      </c>
      <c r="C7" s="22" t="n">
        <f aca="false">COUNTIFS(新聞稿資料庫!B5:B120,"2024",新聞稿資料庫!C5:C120,"2024/04/*")</f>
        <v>2</v>
      </c>
      <c r="D7" s="22" t="n">
        <f aca="false">COUNTIFS(新聞稿資料庫!B5:B120,"2025",新聞稿資料庫!C5:C120,"2025/04/*")</f>
        <v>4</v>
      </c>
      <c r="E7" s="22" t="n">
        <f aca="false">SUM(B7:D7)</f>
        <v>6</v>
      </c>
    </row>
    <row r="8" customFormat="false" ht="15" hidden="false" customHeight="false" outlineLevel="0" collapsed="false">
      <c r="A8" s="4" t="s">
        <v>386</v>
      </c>
      <c r="B8" s="22" t="n">
        <f aca="false">COUNTIFS(新聞稿資料庫!B5:B120,"2023",新聞稿資料庫!C5:C120,"2023/05/*")</f>
        <v>5</v>
      </c>
      <c r="C8" s="22" t="n">
        <f aca="false">COUNTIFS(新聞稿資料庫!B5:B120,"2024",新聞稿資料庫!C5:C120,"2024/05/*")</f>
        <v>0</v>
      </c>
      <c r="D8" s="22" t="n">
        <f aca="false">COUNTIFS(新聞稿資料庫!B5:B120,"2025",新聞稿資料庫!C5:C120,"2025/05/*")</f>
        <v>4</v>
      </c>
      <c r="E8" s="22" t="n">
        <f aca="false">SUM(B8:D8)</f>
        <v>9</v>
      </c>
    </row>
    <row r="9" customFormat="false" ht="15" hidden="false" customHeight="false" outlineLevel="0" collapsed="false">
      <c r="A9" s="4" t="s">
        <v>387</v>
      </c>
      <c r="B9" s="22" t="n">
        <f aca="false">COUNTIFS(新聞稿資料庫!B5:B120,"2023",新聞稿資料庫!C5:C120,"2023/06/*")</f>
        <v>4</v>
      </c>
      <c r="C9" s="22" t="n">
        <f aca="false">COUNTIFS(新聞稿資料庫!B5:B120,"2024",新聞稿資料庫!C5:C120,"2024/06/*")</f>
        <v>0</v>
      </c>
      <c r="D9" s="22" t="n">
        <f aca="false">COUNTIFS(新聞稿資料庫!B5:B120,"2025",新聞稿資料庫!C5:C120,"2025/06/*")</f>
        <v>4</v>
      </c>
      <c r="E9" s="22" t="n">
        <f aca="false">SUM(B9:D9)</f>
        <v>8</v>
      </c>
    </row>
    <row r="10" customFormat="false" ht="15" hidden="false" customHeight="false" outlineLevel="0" collapsed="false">
      <c r="A10" s="4" t="s">
        <v>388</v>
      </c>
      <c r="B10" s="22" t="n">
        <f aca="false">COUNTIFS(新聞稿資料庫!B5:B120,"2023",新聞稿資料庫!C5:C120,"2023/07/*")</f>
        <v>3</v>
      </c>
      <c r="C10" s="22" t="n">
        <f aca="false">COUNTIFS(新聞稿資料庫!B5:B120,"2024",新聞稿資料庫!C5:C120,"2024/07/*")</f>
        <v>1</v>
      </c>
      <c r="D10" s="22" t="n">
        <f aca="false">COUNTIFS(新聞稿資料庫!B5:B120,"2025",新聞稿資料庫!C5:C120,"2025/07/*")</f>
        <v>3</v>
      </c>
      <c r="E10" s="22" t="n">
        <f aca="false">SUM(B10:D10)</f>
        <v>7</v>
      </c>
    </row>
    <row r="11" customFormat="false" ht="15" hidden="false" customHeight="false" outlineLevel="0" collapsed="false">
      <c r="A11" s="4" t="s">
        <v>389</v>
      </c>
      <c r="B11" s="22" t="n">
        <f aca="false">COUNTIFS(新聞稿資料庫!B5:B120,"2023",新聞稿資料庫!C5:C120,"2023/08/*")</f>
        <v>2</v>
      </c>
      <c r="C11" s="22" t="n">
        <f aca="false">COUNTIFS(新聞稿資料庫!B5:B120,"2024",新聞稿資料庫!C5:C120,"2024/08/*")</f>
        <v>2</v>
      </c>
      <c r="D11" s="22" t="n">
        <f aca="false">COUNTIFS(新聞稿資料庫!B5:B120,"2025",新聞稿資料庫!C5:C120,"2025/08/*")</f>
        <v>4</v>
      </c>
      <c r="E11" s="22" t="n">
        <f aca="false">SUM(B11:D11)</f>
        <v>8</v>
      </c>
    </row>
    <row r="12" customFormat="false" ht="15" hidden="false" customHeight="false" outlineLevel="0" collapsed="false">
      <c r="A12" s="4" t="s">
        <v>390</v>
      </c>
      <c r="B12" s="22" t="n">
        <f aca="false">COUNTIFS(新聞稿資料庫!B5:B120,"2023",新聞稿資料庫!C5:C120,"2023/09/*")</f>
        <v>5</v>
      </c>
      <c r="C12" s="22" t="n">
        <f aca="false">COUNTIFS(新聞稿資料庫!B5:B120,"2024",新聞稿資料庫!C5:C120,"2024/09/*")</f>
        <v>2</v>
      </c>
      <c r="D12" s="22" t="n">
        <f aca="false">COUNTIFS(新聞稿資料庫!B5:B120,"2025",新聞稿資料庫!C5:C120,"2025/09/*")</f>
        <v>2</v>
      </c>
      <c r="E12" s="22" t="n">
        <f aca="false">SUM(B12:D12)</f>
        <v>9</v>
      </c>
    </row>
    <row r="13" customFormat="false" ht="15" hidden="false" customHeight="false" outlineLevel="0" collapsed="false">
      <c r="A13" s="4" t="s">
        <v>391</v>
      </c>
      <c r="B13" s="22" t="n">
        <f aca="false">COUNTIFS(新聞稿資料庫!B5:B120,"2023",新聞稿資料庫!C5:C120,"2023/10/*")</f>
        <v>0</v>
      </c>
      <c r="C13" s="22" t="n">
        <f aca="false">COUNTIFS(新聞稿資料庫!B5:B120,"2024",新聞稿資料庫!C5:C120,"2024/10/*")</f>
        <v>0</v>
      </c>
      <c r="D13" s="22" t="n">
        <f aca="false">COUNTIFS(新聞稿資料庫!B5:B120,"2025",新聞稿資料庫!C5:C120,"2025/10/*")</f>
        <v>7</v>
      </c>
      <c r="E13" s="22" t="n">
        <f aca="false">SUM(B13:D13)</f>
        <v>7</v>
      </c>
    </row>
    <row r="14" customFormat="false" ht="15" hidden="false" customHeight="false" outlineLevel="0" collapsed="false">
      <c r="A14" s="4" t="s">
        <v>392</v>
      </c>
      <c r="B14" s="22" t="n">
        <f aca="false">COUNTIFS(新聞稿資料庫!B5:B120,"2023",新聞稿資料庫!C5:C120,"2023/11/*")</f>
        <v>0</v>
      </c>
      <c r="C14" s="22" t="n">
        <f aca="false">COUNTIFS(新聞稿資料庫!B5:B120,"2024",新聞稿資料庫!C5:C120,"2024/11/*")</f>
        <v>1</v>
      </c>
      <c r="D14" s="22" t="n">
        <f aca="false">COUNTIFS(新聞稿資料庫!B5:B120,"2025",新聞稿資料庫!C5:C120,"2025/11/*")</f>
        <v>6</v>
      </c>
      <c r="E14" s="22" t="n">
        <f aca="false">SUM(B14:D14)</f>
        <v>7</v>
      </c>
    </row>
    <row r="15" customFormat="false" ht="15" hidden="false" customHeight="false" outlineLevel="0" collapsed="false">
      <c r="A15" s="4" t="s">
        <v>393</v>
      </c>
      <c r="B15" s="22" t="n">
        <f aca="false">COUNTIFS(新聞稿資料庫!B5:B120,"2023",新聞稿資料庫!C5:C120,"2023/12/*")</f>
        <v>5</v>
      </c>
      <c r="C15" s="22" t="n">
        <f aca="false">COUNTIFS(新聞稿資料庫!B5:B120,"2024",新聞稿資料庫!C5:C120,"2024/12/*")</f>
        <v>0</v>
      </c>
      <c r="D15" s="22" t="n">
        <f aca="false">COUNTIFS(新聞稿資料庫!B5:B120,"2025",新聞稿資料庫!C5:C120,"2025/12/*")</f>
        <v>7</v>
      </c>
      <c r="E15" s="22" t="n">
        <f aca="false">SUM(B15:D15)</f>
        <v>12</v>
      </c>
    </row>
    <row r="16" customFormat="false" ht="15" hidden="false" customHeight="false" outlineLevel="0" collapsed="false">
      <c r="A16" s="34" t="s">
        <v>379</v>
      </c>
      <c r="B16" s="35" t="n">
        <f aca="false">SUM(B4:B15)</f>
        <v>37</v>
      </c>
      <c r="C16" s="35" t="n">
        <f aca="false">SUM(C4:C15)</f>
        <v>11</v>
      </c>
      <c r="D16" s="35" t="n">
        <f aca="false">SUM(D4:D15)</f>
        <v>59</v>
      </c>
      <c r="E16" s="35" t="n">
        <f aca="false">SUM(E4:E15)</f>
        <v>107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2026-03-06T14:13:31Z</dcterms:created>
  <dc:creator>openpyxl</dc:creator>
  <dc:description/>
  <dc:language>en-US</dc:language>
  <cp:lastModifiedBy/>
  <dcterms:modified xsi:type="dcterms:W3CDTF">2026-03-06T14:13:31Z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