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oachyang/Desktop/倡議追蹤系統/"/>
    </mc:Choice>
  </mc:AlternateContent>
  <xr:revisionPtr revIDLastSave="0" documentId="13_ncr:1_{6E5CA791-B8B9-F24E-9419-82DD966462C2}" xr6:coauthVersionLast="47" xr6:coauthVersionMax="47" xr10:uidLastSave="{00000000-0000-0000-0000-000000000000}"/>
  <bookViews>
    <workbookView xWindow="0" yWindow="600" windowWidth="35840" windowHeight="20560" xr2:uid="{00000000-000D-0000-FFFF-FFFF00000000}"/>
  </bookViews>
  <sheets>
    <sheet name="新聞稿資料庫" sheetId="1" r:id="rId1"/>
    <sheet name="議題追蹤總覽" sheetId="2" r:id="rId2"/>
    <sheet name="年度月度統計" sheetId="3" r:id="rId3"/>
  </sheets>
  <definedNames>
    <definedName name="_xlnm._FilterDatabase" localSheetId="0" hidden="1">新聞稿資料庫!$A$1:$J$66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C2" i="3"/>
  <c r="B2" i="3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D2" i="2" l="1"/>
  <c r="D9" i="2"/>
  <c r="D6" i="3"/>
  <c r="D10" i="2"/>
  <c r="D3" i="2"/>
  <c r="D8" i="3"/>
  <c r="D4" i="2"/>
  <c r="D5" i="2"/>
  <c r="D10" i="3"/>
  <c r="D6" i="2"/>
  <c r="D11" i="3"/>
  <c r="D4" i="3"/>
  <c r="D5" i="3"/>
  <c r="D13" i="3"/>
  <c r="D7" i="3"/>
  <c r="C13" i="2"/>
  <c r="D11" i="2"/>
  <c r="D12" i="2"/>
  <c r="D9" i="3"/>
  <c r="C14" i="3"/>
  <c r="D3" i="3"/>
  <c r="D12" i="3"/>
  <c r="B14" i="3"/>
  <c r="D7" i="2"/>
  <c r="D8" i="2"/>
  <c r="B13" i="2"/>
  <c r="D2" i="3"/>
  <c r="D13" i="2" l="1"/>
  <c r="D14" i="3"/>
</calcChain>
</file>

<file path=xl/sharedStrings.xml><?xml version="1.0" encoding="utf-8"?>
<sst xmlns="http://schemas.openxmlformats.org/spreadsheetml/2006/main" count="548" uniqueCount="256">
  <si>
    <t>編號</t>
  </si>
  <si>
    <t>年度</t>
  </si>
  <si>
    <t>日期</t>
  </si>
  <si>
    <t>標題</t>
  </si>
  <si>
    <t>議題分類</t>
  </si>
  <si>
    <t>次要議題</t>
  </si>
  <si>
    <t>行動類型</t>
  </si>
  <si>
    <t>訴求對象</t>
  </si>
  <si>
    <t>政府回應</t>
  </si>
  <si>
    <t>檔案名</t>
  </si>
  <si>
    <t>2024</t>
  </si>
  <si>
    <t>2024/00/00</t>
  </si>
  <si>
    <t>校園安全</t>
  </si>
  <si>
    <t>新聞稿</t>
  </si>
  <si>
    <t>1101221+跨院際「少年事件政策協商平台會議」新聞稿</t>
  </si>
  <si>
    <t>1101221+跨院際「少年事件政策協商平台會議」新聞稿.docx</t>
  </si>
  <si>
    <t>2024/01/09</t>
  </si>
  <si>
    <t>國教行動聯盟「補保護漏洞 和黑幫搶人 不讓少年殺人事件再度發生」新聞稿</t>
  </si>
  <si>
    <t>兒少保護</t>
  </si>
  <si>
    <t>記者會</t>
  </si>
  <si>
    <t>20240109：國教行動聯盟「補保護漏洞 和黑幫搶人 不讓少年殺人事件再度發生」新聞稿.docx</t>
  </si>
  <si>
    <t>2024/01/19</t>
  </si>
  <si>
    <t>國教行動聯盟「少年犯罪日益嚴重 新北殺人事件並非偶然」記者會新聞稿</t>
  </si>
  <si>
    <t>20240119：國教行動聯盟「少年犯罪日益嚴重 新北殺人事件並非偶然」記者會新聞稿.docx</t>
  </si>
  <si>
    <t>2024/03/19</t>
  </si>
  <si>
    <t>國教行動聯盟「少保官未見檢討 曝險少年定義狹隘 中介教育空中樓閣  是真心檢</t>
  </si>
  <si>
    <t>20240319：國教行動聯盟「少保官未見檢討 曝險少年定義狹隘 中介教育空中樓閣  是真心檢.docx</t>
  </si>
  <si>
    <t>2024/04/17</t>
  </si>
  <si>
    <t>新聞稿：國教盟回應霸凌準則修正：肯定教育部勇於面對問題 回應民間團體訴求 積</t>
  </si>
  <si>
    <t>20240417新聞稿：國教盟回應霸凌準則修正：肯定教育部勇於面對問題 回應民間團體訴求 積.docx</t>
  </si>
  <si>
    <t>2024/04/24</t>
  </si>
  <si>
    <t>新聞稿：回應學生輔導法修法 國教盟提出三大訴求</t>
  </si>
  <si>
    <t>心理健康</t>
  </si>
  <si>
    <t>20240424新聞稿：回應學生輔導法修法 國教盟提出三大訴求.docx</t>
  </si>
  <si>
    <t>2024/07/09</t>
  </si>
  <si>
    <t>國教行動聯盟新聞稿「國教盟肯定學生輔導法修法符合期待 預期將有助學生心理健</t>
  </si>
  <si>
    <t>20240709國教行動聯盟新聞稿「國教盟肯定學生輔導法修法符合期待 預期將有助學生心理健.docx</t>
  </si>
  <si>
    <t>2024/08/30</t>
  </si>
  <si>
    <t>國教行動聯盟「建請確實檢討少年事件處理暨保護制度」記者會新聞稿</t>
  </si>
  <si>
    <t>20240830國教行動聯盟「建請確實檢討少年事件處理暨保護制度」記者會新聞稿.docx</t>
  </si>
  <si>
    <t>2024/09/20</t>
  </si>
  <si>
    <t>國教行動聯盟「新北割頸案凸顯少保調查官角色衝突」記者會新聞稿</t>
  </si>
  <si>
    <t>20240920國教行動聯盟「新北割頸案凸顯少保調查官角色衝突」記者會新聞稿.docx</t>
  </si>
  <si>
    <t>2024/09/30</t>
  </si>
  <si>
    <t>國教行動聯盟「悲劇不是意外，系統早已失靈！ 」陳情行動記者會新聞稿</t>
  </si>
  <si>
    <t>20240930國教行動聯盟「悲劇不是意外，系統早已失靈！ 」陳情行動記者會新聞稿.docx</t>
  </si>
  <si>
    <t>2025</t>
  </si>
  <si>
    <t>2025/01/02</t>
  </si>
  <si>
    <t>落實「健康台灣」願景 保障兒童健康未來</t>
  </si>
  <si>
    <t>教育政策</t>
  </si>
  <si>
    <t>陳情</t>
  </si>
  <si>
    <t>教育部、衛福部、行政院</t>
  </si>
  <si>
    <t>有</t>
  </si>
  <si>
    <t>20250102_「全國教育團體聯合呼籲應重新啟動生生喝國產乳計畫.docx</t>
  </si>
  <si>
    <t>2025/01/09</t>
  </si>
  <si>
    <t>公聽會家長聲音缺席，如何落實兒童最佳利益？</t>
  </si>
  <si>
    <t>公聽會</t>
  </si>
  <si>
    <t>立法院</t>
  </si>
  <si>
    <t>20250109_公聽會家長聲音缺席如何落實兒童最佳利益.docx</t>
  </si>
  <si>
    <t>2025/01/10</t>
  </si>
  <si>
    <t>菸防法修法兩週年 台灣加熱菸、加味菸管制陷入困境！</t>
  </si>
  <si>
    <t>菸害防制</t>
  </si>
  <si>
    <t>衛福部、國健署、立法院</t>
  </si>
  <si>
    <t>20250110_菸防法修法兩週年台灣加熱菸、加味菸管制陷入困境.docx</t>
  </si>
  <si>
    <t>2025/01/13</t>
  </si>
  <si>
    <t>青少年每10萬人有50.34人感染 12年來淋病暴增七倍</t>
  </si>
  <si>
    <t>青少年性健康</t>
  </si>
  <si>
    <t>衛福部</t>
  </si>
  <si>
    <t>20250113_青少年每10萬人有50.34人感染 12年來淋病暴.docx</t>
  </si>
  <si>
    <t>2025/01/15</t>
  </si>
  <si>
    <t>青少女梅毒病例10年增長53倍，性病低齡化問題浮現</t>
  </si>
  <si>
    <t>教育部、衛福部、立法院</t>
  </si>
  <si>
    <t>20250115_青少女梅毒成長53倍.docx</t>
  </si>
  <si>
    <t>2025/01/17</t>
  </si>
  <si>
    <t>小學三年級染性病是怎麼回事？</t>
  </si>
  <si>
    <t>教育部、衛福部</t>
  </si>
  <si>
    <t>20250117_小學三年級染性病是怎麼回事.docx</t>
  </si>
  <si>
    <t>2025/01/20</t>
  </si>
  <si>
    <t>台灣性教育學會、華人情感教育發展協會、國教行動聯盟</t>
  </si>
  <si>
    <t>衛福部、立法院</t>
  </si>
  <si>
    <t>20250120_2024台灣十大性與情感教育新聞事件.docx</t>
  </si>
  <si>
    <t>2025/01/21</t>
  </si>
  <si>
    <t>全台首次！8743份問卷揭示「這世代的心聲」!</t>
  </si>
  <si>
    <t>青年參與</t>
  </si>
  <si>
    <t>20250121_全台首次8743份問卷揭示這世代的心聲.docx</t>
  </si>
  <si>
    <t>全台首次！？「2025臺灣青少年最關心的十大議題」震撼揭曉———改變，從傾聽開始</t>
  </si>
  <si>
    <t>20250121_青少年最關心的十大議題.docx</t>
  </si>
  <si>
    <t>2025/01/26</t>
  </si>
  <si>
    <t>年節出國帶加熱菸回台 自用送禮代購都違法</t>
  </si>
  <si>
    <t>20250126_年節出國帶加熱菸回台_自用送禮代購都違法.docx</t>
  </si>
  <si>
    <t>2025/02/13</t>
  </si>
  <si>
    <t>徒法不足以自行 兒少權法修法恐適得其反？</t>
  </si>
  <si>
    <t>法務部、立法院</t>
  </si>
  <si>
    <t>20250213_徒法不足以自行兒少權法修法恐適得其反.docx</t>
  </si>
  <si>
    <t>2025/02/20</t>
  </si>
  <si>
    <t>兒少權修法應具體回應青少年需求</t>
  </si>
  <si>
    <t>教育部、立法院</t>
  </si>
  <si>
    <t>20250220_兒少權修法應具體回應青少年需求.docx</t>
  </si>
  <si>
    <t>2025/03/06</t>
  </si>
  <si>
    <t>電子煙修法仍存漏洞 校園喪屍煙彈難擋</t>
  </si>
  <si>
    <t>衛福部、行政院</t>
  </si>
  <si>
    <t>20250306_電子煙修法仍存漏洞校園喪屍煙彈難擋.docx</t>
  </si>
  <si>
    <t>2025/03/07</t>
  </si>
  <si>
    <t>「青少女梅毒成長53倍、淋病暴增7倍，政府還想開放事後避孕藥？」</t>
  </si>
  <si>
    <t>20250307_青少女梅毒成長53倍、淋病暴增7倍政府還想開放.docx</t>
  </si>
  <si>
    <t>會後照片及資料：https://reurl.cc/RerXgG</t>
  </si>
  <si>
    <t>衛福部、國健署、行政院</t>
  </si>
  <si>
    <t>20250307_台灣拒菸聯盟.docx</t>
  </si>
  <si>
    <t>2025/03/17</t>
  </si>
  <si>
    <t>情緒障礙飆升41%！國教盟籲校園手機使用聚焦內容管理、培養學生數位韌性</t>
  </si>
  <si>
    <t>20250317_情緒障礙飆升41%國教盟籲校園手機使用聚焦內容管.docx</t>
  </si>
  <si>
    <t>2025/03/24</t>
  </si>
  <si>
    <t>早療通報再創新高 療育量能遠遠不足</t>
  </si>
  <si>
    <t>早期療育</t>
  </si>
  <si>
    <t>20250324_早療通報再創新高療育量能遠遠不足.docx</t>
  </si>
  <si>
    <t>2025/04/23</t>
  </si>
  <si>
    <t>「423嬰兒 兒童 青少年 精神衛生日」</t>
  </si>
  <si>
    <t>教育部、衛福部、國健署</t>
  </si>
  <si>
    <t>20250423_423嬰兒 兒童 青少年 精神健康日」國教行動聯盟.docx</t>
  </si>
  <si>
    <t>2025/04/24</t>
  </si>
  <si>
    <t>青少年說：我們不想再被毒駕撞傷！</t>
  </si>
  <si>
    <t>20250424_青年部康橋事件.docx</t>
  </si>
  <si>
    <t>2025/04/30</t>
  </si>
  <si>
    <t>『看見不同，孩子的未來不是病名』</t>
  </si>
  <si>
    <t>20250430_看見不同孩子的未來不是病名.docx</t>
  </si>
  <si>
    <t>20250430_看見孩子不同的需要.docx</t>
  </si>
  <si>
    <t>2025/05/14</t>
  </si>
  <si>
    <t>共同跨域網絡守護青少年身心與數位健康</t>
  </si>
  <si>
    <t>教育部</t>
  </si>
  <si>
    <t>20250514_共同跨域網絡守護青少年身心與數位健康.docx</t>
  </si>
  <si>
    <t>2025/05/22</t>
  </si>
  <si>
    <t>92%民意怒吼、每年20幼童枉死！國教盟揭8,700份調查 籲修法『終身監禁不得假釋＋強制治療』</t>
  </si>
  <si>
    <t>20250522_兒虐修法終身監禁不得假釋.docx</t>
  </si>
  <si>
    <t>2025/05/26</t>
  </si>
  <si>
    <t>世界無菸日 青年行動劇揭露「菸商最常用的3大行銷伎倆」!</t>
  </si>
  <si>
    <t>國健署</t>
  </si>
  <si>
    <t>20250526_世界無菸日青年行動劇揭露菸商最常用的3大行銷伎.docx</t>
  </si>
  <si>
    <t>2025/05/29</t>
  </si>
  <si>
    <t>健康促進學校邊緣化性健康 造成青少年性病飆升</t>
  </si>
  <si>
    <t>20250529_健康促進學校邊緣化性健康_正式版.docx</t>
  </si>
  <si>
    <t>2025/06/02</t>
  </si>
  <si>
    <t>國際七國專家齊聚聚焦毒品危機</t>
  </si>
  <si>
    <t>20250602_國際七國專家齊聚聚焦毒品危機.docx</t>
  </si>
  <si>
    <t>2025/06/03</t>
  </si>
  <si>
    <t>七國專家聚焦毒品危機 大麻與依托咪酯威脅台灣青少年</t>
  </si>
  <si>
    <t>20250603_七國專家聚焦毒品危機大麻與依托咪酯威脅台灣青少年.docx</t>
  </si>
  <si>
    <t>2025/06/05</t>
  </si>
  <si>
    <t>學習歷程採計不該成為考驗信任的軍備競賽！</t>
  </si>
  <si>
    <t>20250605_學習歷程採計不該成為軍備競賽.docx</t>
  </si>
  <si>
    <t>2025/06/21</t>
  </si>
  <si>
    <t>2025台灣青少年神經多樣性生活導師國際研討會登場
從理解到實踐，創造台灣在地的青少年神經多樣性支持制度</t>
  </si>
  <si>
    <t>論壇</t>
  </si>
  <si>
    <t>20250621_台灣青少年神經多樣性國際研討會.docx</t>
  </si>
  <si>
    <t>2025/07/11</t>
  </si>
  <si>
    <t>構築未來：打造「兒少家庭部」 跨部治理與政策整合藍圖 論壇</t>
  </si>
  <si>
    <t>20250711_打造「兒少家庭部」藍圖論壇.docx</t>
  </si>
  <si>
    <t>2025/07/23</t>
  </si>
  <si>
    <t>逾八成愛奇兒暑期學習斷線</t>
  </si>
  <si>
    <t>其他</t>
  </si>
  <si>
    <t>20250723_逾八成愛奇兒暑期學習斷線.docx</t>
  </si>
  <si>
    <t>2025/07/31</t>
  </si>
  <si>
    <t>沒有暑假的未成年（兒少）照顧者—3%孩子獨力照顧、82%感孤單，教育部衛福部須即刻行動</t>
  </si>
  <si>
    <t>20250731_沒有暑假的未成年兒少照顧者—3%孩子獨力照顧、.docx</t>
  </si>
  <si>
    <t>2025/08/18</t>
  </si>
  <si>
    <t>Google加熱菸到處廣告都可買？！</t>
  </si>
  <si>
    <t>衛福部、國健署</t>
  </si>
  <si>
    <t>20250818_20250818台灣拒菸聯盟新聞稿.docx</t>
  </si>
  <si>
    <t>2025/08/19</t>
  </si>
  <si>
    <t>從「精液豆漿」到「偽CSE」：教育部開學前把風險帶進教室？</t>
  </si>
  <si>
    <t>20250819_從精液豆漿到偽CSE教育部開學前把風險帶.docx</t>
  </si>
  <si>
    <t>2025/08/26</t>
  </si>
  <si>
    <t>主動聆聽值得肯定—被慰留後的教育部長2.0是否決心改變？</t>
  </si>
  <si>
    <t>座談會</t>
  </si>
  <si>
    <t>20250826_主動聆聽值得肯定—被慰留後的教育部長20是否決心.docx</t>
  </si>
  <si>
    <t>2025/08/28</t>
  </si>
  <si>
    <t>「務實、傾聽」-對新內閣閣員提出三點期待</t>
  </si>
  <si>
    <t>20250828_務實、傾聽-對新內閣閣員提出三點期待.docx</t>
  </si>
  <si>
    <t>2025/09/15</t>
  </si>
  <si>
    <t>「延後上學不能只改鐘點」：國教盟主張以課綱、配套與家長需求一併檢討</t>
  </si>
  <si>
    <t>20250915_延後上學不能只改鐘點國教盟主張以課綱、配套與.docx</t>
  </si>
  <si>
    <t>2025/09/26</t>
  </si>
  <si>
    <t>表單變少了嗎？成效要對表！</t>
  </si>
  <si>
    <t>20250926_表單變少了嗎成效要對表.docx</t>
  </si>
  <si>
    <t>2025/10/09</t>
  </si>
  <si>
    <t>加熱菸將販售 預估14萬年輕人淪陷? 請問政府配套?</t>
  </si>
  <si>
    <t>20251009_OK(不含復件)).docx</t>
  </si>
  <si>
    <t>2025/10/10</t>
  </si>
  <si>
    <t>世界心理健康日：</t>
  </si>
  <si>
    <t>20251010_肯定政策進步呼籲災後情緒危機處理成為政府標配.docx</t>
  </si>
  <si>
    <t>2025/10/14</t>
  </si>
  <si>
    <t>難道真要先上車、後補票？加熱菸別成為全民的「寧靜車廂」</t>
  </si>
  <si>
    <t>行政院</t>
  </si>
  <si>
    <t>20251014_難道真要先上車、後補票加熱菸別成為全民的寧靜車.docx</t>
  </si>
  <si>
    <t>2025/10/20</t>
  </si>
  <si>
    <t>事實勝過帶風向：加熱菸首日下架　政府執法、兒少優先</t>
  </si>
  <si>
    <t>20251020_正式國教盟.docx</t>
  </si>
  <si>
    <t>衛福部下架違規標示加熱菸品 台灣拒菸聯盟表達肯定、呼籲強力執法並送驗</t>
  </si>
  <si>
    <t>20251020_衛福部下架違規標示加熱菸品台灣拒菸聯盟表達肯定、.docx</t>
  </si>
  <si>
    <t>2025/10/22</t>
  </si>
  <si>
    <t>為何跨國菸草公司拒絕依法標示加熱菸尼古丁含量!?</t>
  </si>
  <si>
    <t>20251022_1141022台灣拒菸聯盟新聞稿.docx</t>
  </si>
  <si>
    <t>人工生殖</t>
  </si>
  <si>
    <t>制度要更好，不是更少</t>
  </si>
  <si>
    <t>2025/11/13</t>
  </si>
  <si>
    <t>國教盟青年部懇請政府重視青少年詐騙問題</t>
  </si>
  <si>
    <t>2025/11/19</t>
  </si>
  <si>
    <t>2025/11/22</t>
  </si>
  <si>
    <t>國教盟肯定預告修正版本有助處理爭議</t>
  </si>
  <si>
    <t>20251122_國教盟肯定預告修正版本有助處理爭議.docx</t>
  </si>
  <si>
    <t>2025/11/24</t>
  </si>
  <si>
    <t>制度要更好，不是更少：肯定預告修正進步，但必須補上「前端把關、單一事實審認、外部專業、時限回饋」四關鍵</t>
  </si>
  <si>
    <t>20251124_制度要更好不是更少肯定預告修正進步但必須補上.docx</t>
  </si>
  <si>
    <t>2025/12/05</t>
  </si>
  <si>
    <t>從「事後追究」轉向「事前預防」不要讓悲劇反覆發生</t>
  </si>
  <si>
    <t>20251205_青少年自殺通報九年增加3.3倍、佔比倍增國教盟.docx</t>
  </si>
  <si>
    <t>2025/12/06</t>
  </si>
  <si>
    <t>「中華民國兒童健康聯盟」「全國婦兒團體聯盟」「國教行動聯盟」</t>
  </si>
  <si>
    <t>教育部、行政院</t>
  </si>
  <si>
    <t>20251206_生育·養育·教育—兒童成長需求總體檢」論壇.docx</t>
  </si>
  <si>
    <t>2025/12/08</t>
  </si>
  <si>
    <t>8742名青少年票選第三名：「遇到性騷擾該怎麼辦？」
性影像被害人過半未成年，卻沒人教他如何預防</t>
  </si>
  <si>
    <t>20251208_8742名青少年票選第三名遇到性騷擾該怎麼辦.docx</t>
  </si>
  <si>
    <t>2025/12/09</t>
  </si>
  <si>
    <t>肯定跨部會平台啟動，呼籲以兒少視角完善單一入口與校園支持</t>
  </si>
  <si>
    <t>20251209_肯定跨部會平台啟動呼籲以兒少視角完善單一入口與校.docx</t>
  </si>
  <si>
    <t>2025/12/16</t>
  </si>
  <si>
    <t>校園菸毒與毒駕源頭相同 新興毒品快速變形 毒駕年增8倍</t>
  </si>
  <si>
    <t>20251216_校園菸毒與毒駕源頭相同新興毒品快速變形毒駕年增.docx</t>
  </si>
  <si>
    <t>2025/12/18</t>
  </si>
  <si>
    <t>台灣的兒少數位保護要前進：</t>
  </si>
  <si>
    <t>20251218_與一滴優.docx</t>
  </si>
  <si>
    <t>2025/12/24</t>
  </si>
  <si>
    <t>二審判決引發社會質疑</t>
  </si>
  <si>
    <t>20251224_新北割頸案二審國教盟.docx</t>
  </si>
  <si>
    <t>議題</t>
  </si>
  <si>
    <t>2024年</t>
  </si>
  <si>
    <t>2025年</t>
  </si>
  <si>
    <t>合計</t>
  </si>
  <si>
    <t>倡議現況</t>
  </si>
  <si>
    <t>下一步行動</t>
  </si>
  <si>
    <t>大麻防制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</si>
  <si>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</si>
  <si>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</si>
  <si>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</si>
  <si>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</si>
  <si>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</si>
  <si>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</si>
  <si>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</si>
  <si>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</si>
  <si>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</si>
  <si>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</si>
  <si>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</si>
  <si>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</si>
  <si>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</si>
  <si>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20251113_回應詐騙通報網.docx</t>
    <phoneticPr fontId="7" type="noConversion"/>
  </si>
  <si>
    <r>
      <t>20251119_</t>
    </r>
    <r>
      <rPr>
        <sz val="11"/>
        <color theme="1"/>
        <rFont val="新細明體"/>
        <family val="2"/>
        <charset val="136"/>
      </rPr>
      <t>校事會議議題</t>
    </r>
    <r>
      <rPr>
        <sz val="11"/>
        <color theme="1"/>
        <rFont val="新細明體"/>
        <family val="2"/>
        <scheme val="minor"/>
      </rPr>
      <t>與全家盟聯合.docx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</si>
</sst>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b/>
      <sz val="10"/>
      <color rgb="FFFFFFFF"/>
      <name val="新細明體"/>
      <family val="1"/>
      <charset val="136"/>
    </font>
    <font>
      <b/>
      <sz val="11"/>
      <color rgb="FF27AE60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sz val="11"/>
      <color theme="1"/>
      <name val="新細明體"/>
      <family val="2"/>
      <charset val="136"/>
    </font>
    <font>
      <sz val="9"/>
      <name val="新細明體"/>
      <family val="3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3498DB"/>
        <bgColor rgb="FF3498DB"/>
      </patternFill>
    </fill>
    <fill>
      <patternFill patternType="solid">
        <fgColor rgb="FFE67E22"/>
        <bgColor rgb="FFE67E22"/>
      </patternFill>
    </fill>
    <fill>
      <patternFill patternType="solid">
        <fgColor rgb="FF27AE60"/>
        <bgColor rgb="FF27AE60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2ECC71"/>
        <bgColor rgb="FF2ECC71"/>
      </patternFill>
    </fill>
    <fill>
      <patternFill patternType="solid">
        <fgColor rgb="FF795548"/>
        <bgColor rgb="FF795548"/>
      </patternFill>
    </fill>
    <fill>
      <patternFill patternType="solid">
        <fgColor rgb="FF9B59B6"/>
        <bgColor rgb="FF9B59B6"/>
      </patternFill>
    </fill>
    <fill>
      <patternFill patternType="solid">
        <fgColor rgb="FF95A5A6"/>
        <bgColor rgb="FF95A5A6"/>
      </patternFill>
    </fill>
    <fill>
      <patternFill patternType="solid">
        <fgColor rgb="FF1ABC9C"/>
        <bgColor rgb="FF1ABC9C"/>
      </patternFill>
    </fill>
    <fill>
      <patternFill patternType="solid">
        <fgColor rgb="FFFFF2CC"/>
        <bgColor rgb="FFFFF2CC"/>
      </patternFill>
    </fill>
    <fill>
      <patternFill patternType="solid">
        <fgColor rgb="FFC0392B"/>
        <bgColor rgb="FFC0392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4" fillId="6" borderId="1" xfId="0" applyFont="1" applyFill="1" applyBorder="1"/>
    <xf numFmtId="0" fontId="0" fillId="13" borderId="1" xfId="0" applyFill="1" applyBorder="1"/>
    <xf numFmtId="0" fontId="4" fillId="3" borderId="1" xfId="0" applyFont="1" applyFill="1" applyBorder="1"/>
    <xf numFmtId="0" fontId="4" fillId="7" borderId="1" xfId="0" applyFont="1" applyFill="1" applyBorder="1"/>
    <xf numFmtId="0" fontId="4" fillId="5" borderId="1" xfId="0" applyFont="1" applyFill="1" applyBorder="1"/>
    <xf numFmtId="0" fontId="4" fillId="10" borderId="1" xfId="0" applyFont="1" applyFill="1" applyBorder="1"/>
    <xf numFmtId="0" fontId="4" fillId="4" borderId="1" xfId="0" applyFont="1" applyFill="1" applyBorder="1"/>
    <xf numFmtId="0" fontId="4" fillId="8" borderId="1" xfId="0" applyFont="1" applyFill="1" applyBorder="1"/>
    <xf numFmtId="0" fontId="4" fillId="14" borderId="1" xfId="0" applyFont="1" applyFill="1" applyBorder="1"/>
    <xf numFmtId="0" fontId="4" fillId="12" borderId="1" xfId="0" applyFont="1" applyFill="1" applyBorder="1"/>
    <xf numFmtId="0" fontId="4" fillId="9" borderId="1" xfId="0" applyFont="1" applyFill="1" applyBorder="1"/>
    <xf numFmtId="0" fontId="4" fillId="11" borderId="1" xfId="0" applyFont="1" applyFill="1" applyBorder="1"/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workbookViewId="0">
      <pane ySplit="1" topLeftCell="A2" activePane="bottomLeft" state="frozen"/>
      <selection pane="bottomLeft" activeCell="I64" sqref="I64"/>
    </sheetView>
  </sheetViews>
  <sheetFormatPr baseColWidth="10" defaultColWidth="9" defaultRowHeight="14"/>
  <cols>
    <col min="1" max="1" width="6" customWidth="1"/>
    <col min="2" max="2" width="7" customWidth="1"/>
    <col min="3" max="3" width="12" customWidth="1"/>
    <col min="4" max="4" width="55" customWidth="1"/>
    <col min="5" max="6" width="14" customWidth="1"/>
    <col min="7" max="7" width="10" customWidth="1"/>
    <col min="8" max="8" width="25" customWidth="1"/>
    <col min="9" max="9" width="10" customWidth="1"/>
    <col min="10" max="10" width="30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2</v>
      </c>
      <c r="B2" s="2" t="s">
        <v>10</v>
      </c>
      <c r="C2" s="2" t="s">
        <v>11</v>
      </c>
      <c r="D2" s="3" t="s">
        <v>14</v>
      </c>
      <c r="E2" s="4" t="s">
        <v>12</v>
      </c>
      <c r="F2" s="2"/>
      <c r="G2" s="2" t="s">
        <v>13</v>
      </c>
      <c r="H2" s="3"/>
      <c r="I2" s="6" t="s">
        <v>52</v>
      </c>
      <c r="J2" s="3" t="s">
        <v>15</v>
      </c>
    </row>
    <row r="3" spans="1:10">
      <c r="A3" s="2">
        <v>3</v>
      </c>
      <c r="B3" s="2" t="s">
        <v>10</v>
      </c>
      <c r="C3" s="2" t="s">
        <v>16</v>
      </c>
      <c r="D3" s="3" t="s">
        <v>17</v>
      </c>
      <c r="E3" s="4" t="s">
        <v>12</v>
      </c>
      <c r="F3" s="2" t="s">
        <v>18</v>
      </c>
      <c r="G3" s="2" t="s">
        <v>19</v>
      </c>
      <c r="H3" s="3"/>
      <c r="I3" s="6" t="s">
        <v>52</v>
      </c>
      <c r="J3" s="3" t="s">
        <v>20</v>
      </c>
    </row>
    <row r="4" spans="1:10">
      <c r="A4" s="2">
        <v>4</v>
      </c>
      <c r="B4" s="2" t="s">
        <v>10</v>
      </c>
      <c r="C4" s="2" t="s">
        <v>21</v>
      </c>
      <c r="D4" s="3" t="s">
        <v>22</v>
      </c>
      <c r="E4" s="4" t="s">
        <v>12</v>
      </c>
      <c r="F4" s="2"/>
      <c r="G4" s="2" t="s">
        <v>19</v>
      </c>
      <c r="H4" s="3"/>
      <c r="I4" s="6" t="s">
        <v>52</v>
      </c>
      <c r="J4" s="3" t="s">
        <v>23</v>
      </c>
    </row>
    <row r="5" spans="1:10">
      <c r="A5" s="2">
        <v>5</v>
      </c>
      <c r="B5" s="2" t="s">
        <v>10</v>
      </c>
      <c r="C5" s="2" t="s">
        <v>24</v>
      </c>
      <c r="D5" s="3" t="s">
        <v>25</v>
      </c>
      <c r="E5" s="4" t="s">
        <v>12</v>
      </c>
      <c r="F5" s="2" t="s">
        <v>18</v>
      </c>
      <c r="G5" s="2" t="s">
        <v>13</v>
      </c>
      <c r="H5" s="3"/>
      <c r="I5" s="6" t="s">
        <v>52</v>
      </c>
      <c r="J5" s="3" t="s">
        <v>26</v>
      </c>
    </row>
    <row r="6" spans="1:10">
      <c r="A6" s="2">
        <v>6</v>
      </c>
      <c r="B6" s="2" t="s">
        <v>10</v>
      </c>
      <c r="C6" s="2" t="s">
        <v>27</v>
      </c>
      <c r="D6" s="3" t="s">
        <v>28</v>
      </c>
      <c r="E6" s="4" t="s">
        <v>12</v>
      </c>
      <c r="F6" s="2"/>
      <c r="G6" s="2" t="s">
        <v>13</v>
      </c>
      <c r="H6" s="3"/>
      <c r="I6" s="6" t="s">
        <v>52</v>
      </c>
      <c r="J6" s="3" t="s">
        <v>29</v>
      </c>
    </row>
    <row r="7" spans="1:10">
      <c r="A7" s="2">
        <v>7</v>
      </c>
      <c r="B7" s="2" t="s">
        <v>10</v>
      </c>
      <c r="C7" s="2" t="s">
        <v>30</v>
      </c>
      <c r="D7" s="3" t="s">
        <v>31</v>
      </c>
      <c r="E7" s="4" t="s">
        <v>12</v>
      </c>
      <c r="F7" s="2" t="s">
        <v>32</v>
      </c>
      <c r="G7" s="2" t="s">
        <v>13</v>
      </c>
      <c r="H7" s="3"/>
      <c r="I7" s="6" t="s">
        <v>52</v>
      </c>
      <c r="J7" s="3" t="s">
        <v>33</v>
      </c>
    </row>
    <row r="8" spans="1:10">
      <c r="A8" s="2">
        <v>8</v>
      </c>
      <c r="B8" s="2" t="s">
        <v>10</v>
      </c>
      <c r="C8" s="2" t="s">
        <v>34</v>
      </c>
      <c r="D8" s="3" t="s">
        <v>35</v>
      </c>
      <c r="E8" s="4" t="s">
        <v>12</v>
      </c>
      <c r="F8" s="2" t="s">
        <v>32</v>
      </c>
      <c r="G8" s="2" t="s">
        <v>13</v>
      </c>
      <c r="H8" s="3"/>
      <c r="I8" s="6" t="s">
        <v>52</v>
      </c>
      <c r="J8" s="3" t="s">
        <v>36</v>
      </c>
    </row>
    <row r="9" spans="1:10">
      <c r="A9" s="2">
        <v>9</v>
      </c>
      <c r="B9" s="2" t="s">
        <v>10</v>
      </c>
      <c r="C9" s="2" t="s">
        <v>37</v>
      </c>
      <c r="D9" s="3" t="s">
        <v>38</v>
      </c>
      <c r="E9" s="4" t="s">
        <v>12</v>
      </c>
      <c r="F9" s="2"/>
      <c r="G9" s="2" t="s">
        <v>19</v>
      </c>
      <c r="H9" s="3"/>
      <c r="I9" s="6" t="s">
        <v>52</v>
      </c>
      <c r="J9" s="3" t="s">
        <v>39</v>
      </c>
    </row>
    <row r="10" spans="1:10">
      <c r="A10" s="2">
        <v>11</v>
      </c>
      <c r="B10" s="2" t="s">
        <v>10</v>
      </c>
      <c r="C10" s="2" t="s">
        <v>40</v>
      </c>
      <c r="D10" s="3" t="s">
        <v>41</v>
      </c>
      <c r="E10" s="4" t="s">
        <v>12</v>
      </c>
      <c r="F10" s="2" t="s">
        <v>18</v>
      </c>
      <c r="G10" s="2" t="s">
        <v>19</v>
      </c>
      <c r="H10" s="3"/>
      <c r="I10" s="6" t="s">
        <v>52</v>
      </c>
      <c r="J10" s="3" t="s">
        <v>42</v>
      </c>
    </row>
    <row r="11" spans="1:10">
      <c r="A11" s="2">
        <v>12</v>
      </c>
      <c r="B11" s="2" t="s">
        <v>10</v>
      </c>
      <c r="C11" s="2" t="s">
        <v>43</v>
      </c>
      <c r="D11" s="3" t="s">
        <v>44</v>
      </c>
      <c r="E11" s="4" t="s">
        <v>12</v>
      </c>
      <c r="F11" s="2"/>
      <c r="G11" s="2" t="s">
        <v>19</v>
      </c>
      <c r="H11" s="3"/>
      <c r="I11" s="6" t="s">
        <v>52</v>
      </c>
      <c r="J11" s="3" t="s">
        <v>45</v>
      </c>
    </row>
    <row r="12" spans="1:10">
      <c r="A12" s="2">
        <v>14</v>
      </c>
      <c r="B12" s="2" t="s">
        <v>46</v>
      </c>
      <c r="C12" s="2" t="s">
        <v>47</v>
      </c>
      <c r="D12" s="3" t="s">
        <v>48</v>
      </c>
      <c r="E12" s="5" t="s">
        <v>49</v>
      </c>
      <c r="F12" s="2"/>
      <c r="G12" s="2" t="s">
        <v>50</v>
      </c>
      <c r="H12" s="3" t="s">
        <v>51</v>
      </c>
      <c r="I12" s="6" t="s">
        <v>52</v>
      </c>
      <c r="J12" s="3" t="s">
        <v>53</v>
      </c>
    </row>
    <row r="13" spans="1:10">
      <c r="A13" s="2">
        <v>15</v>
      </c>
      <c r="B13" s="2" t="s">
        <v>46</v>
      </c>
      <c r="C13" s="2" t="s">
        <v>54</v>
      </c>
      <c r="D13" s="3" t="s">
        <v>55</v>
      </c>
      <c r="E13" s="7" t="s">
        <v>18</v>
      </c>
      <c r="F13" s="2"/>
      <c r="G13" s="2" t="s">
        <v>56</v>
      </c>
      <c r="H13" s="3" t="s">
        <v>57</v>
      </c>
      <c r="I13" s="6" t="s">
        <v>52</v>
      </c>
      <c r="J13" s="3" t="s">
        <v>58</v>
      </c>
    </row>
    <row r="14" spans="1:10">
      <c r="A14" s="2">
        <v>16</v>
      </c>
      <c r="B14" s="2" t="s">
        <v>46</v>
      </c>
      <c r="C14" s="2" t="s">
        <v>59</v>
      </c>
      <c r="D14" s="3" t="s">
        <v>60</v>
      </c>
      <c r="E14" s="8" t="s">
        <v>61</v>
      </c>
      <c r="F14" s="2"/>
      <c r="G14" s="2" t="s">
        <v>19</v>
      </c>
      <c r="H14" s="3" t="s">
        <v>62</v>
      </c>
      <c r="I14" s="2"/>
      <c r="J14" s="3" t="s">
        <v>63</v>
      </c>
    </row>
    <row r="15" spans="1:10">
      <c r="A15" s="2">
        <v>17</v>
      </c>
      <c r="B15" s="2" t="s">
        <v>46</v>
      </c>
      <c r="C15" s="2" t="s">
        <v>64</v>
      </c>
      <c r="D15" s="3" t="s">
        <v>65</v>
      </c>
      <c r="E15" s="9" t="s">
        <v>66</v>
      </c>
      <c r="F15" s="2"/>
      <c r="G15" s="2" t="s">
        <v>13</v>
      </c>
      <c r="H15" s="3" t="s">
        <v>67</v>
      </c>
      <c r="I15" s="6" t="s">
        <v>52</v>
      </c>
      <c r="J15" s="3" t="s">
        <v>68</v>
      </c>
    </row>
    <row r="16" spans="1:10">
      <c r="A16" s="2">
        <v>19</v>
      </c>
      <c r="B16" s="2" t="s">
        <v>46</v>
      </c>
      <c r="C16" s="2" t="s">
        <v>69</v>
      </c>
      <c r="D16" s="3" t="s">
        <v>70</v>
      </c>
      <c r="E16" s="9" t="s">
        <v>66</v>
      </c>
      <c r="F16" s="2"/>
      <c r="G16" s="2" t="s">
        <v>56</v>
      </c>
      <c r="H16" s="3" t="s">
        <v>71</v>
      </c>
      <c r="I16" s="6" t="s">
        <v>52</v>
      </c>
      <c r="J16" s="3" t="s">
        <v>72</v>
      </c>
    </row>
    <row r="17" spans="1:10">
      <c r="A17" s="2">
        <v>20</v>
      </c>
      <c r="B17" s="2" t="s">
        <v>46</v>
      </c>
      <c r="C17" s="2" t="s">
        <v>73</v>
      </c>
      <c r="D17" s="3" t="s">
        <v>74</v>
      </c>
      <c r="E17" s="9" t="s">
        <v>66</v>
      </c>
      <c r="F17" s="2"/>
      <c r="G17" s="2" t="s">
        <v>13</v>
      </c>
      <c r="H17" s="3" t="s">
        <v>75</v>
      </c>
      <c r="I17" s="6" t="s">
        <v>52</v>
      </c>
      <c r="J17" s="3" t="s">
        <v>76</v>
      </c>
    </row>
    <row r="18" spans="1:10">
      <c r="A18" s="2">
        <v>21</v>
      </c>
      <c r="B18" s="2" t="s">
        <v>46</v>
      </c>
      <c r="C18" s="2" t="s">
        <v>77</v>
      </c>
      <c r="D18" s="3" t="s">
        <v>78</v>
      </c>
      <c r="E18" s="9" t="s">
        <v>66</v>
      </c>
      <c r="F18" s="2"/>
      <c r="G18" s="2" t="s">
        <v>13</v>
      </c>
      <c r="H18" s="3" t="s">
        <v>79</v>
      </c>
      <c r="J18" s="3" t="s">
        <v>80</v>
      </c>
    </row>
    <row r="19" spans="1:10">
      <c r="A19" s="2">
        <v>22</v>
      </c>
      <c r="B19" s="2" t="s">
        <v>46</v>
      </c>
      <c r="C19" s="2" t="s">
        <v>81</v>
      </c>
      <c r="D19" s="3" t="s">
        <v>82</v>
      </c>
      <c r="E19" s="4" t="s">
        <v>12</v>
      </c>
      <c r="F19" s="2" t="s">
        <v>83</v>
      </c>
      <c r="G19" s="2" t="s">
        <v>13</v>
      </c>
      <c r="H19" s="3"/>
      <c r="I19" s="2"/>
      <c r="J19" s="3" t="s">
        <v>84</v>
      </c>
    </row>
    <row r="20" spans="1:10">
      <c r="A20" s="2">
        <v>23</v>
      </c>
      <c r="B20" s="2" t="s">
        <v>46</v>
      </c>
      <c r="C20" s="2" t="s">
        <v>81</v>
      </c>
      <c r="D20" s="3" t="s">
        <v>85</v>
      </c>
      <c r="E20" s="10" t="s">
        <v>83</v>
      </c>
      <c r="F20" s="2"/>
      <c r="G20" s="2" t="s">
        <v>19</v>
      </c>
      <c r="H20" s="3"/>
      <c r="I20" s="2"/>
      <c r="J20" s="3" t="s">
        <v>86</v>
      </c>
    </row>
    <row r="21" spans="1:10">
      <c r="A21" s="2">
        <v>24</v>
      </c>
      <c r="B21" s="2" t="s">
        <v>46</v>
      </c>
      <c r="C21" s="2" t="s">
        <v>87</v>
      </c>
      <c r="D21" s="3" t="s">
        <v>88</v>
      </c>
      <c r="E21" s="8" t="s">
        <v>61</v>
      </c>
      <c r="F21" s="2"/>
      <c r="G21" s="2" t="s">
        <v>13</v>
      </c>
      <c r="H21" s="3"/>
      <c r="I21" s="2"/>
      <c r="J21" s="3" t="s">
        <v>89</v>
      </c>
    </row>
    <row r="22" spans="1:10">
      <c r="A22" s="2">
        <v>25</v>
      </c>
      <c r="B22" s="2" t="s">
        <v>46</v>
      </c>
      <c r="C22" s="2" t="s">
        <v>90</v>
      </c>
      <c r="D22" s="3" t="s">
        <v>91</v>
      </c>
      <c r="E22" s="7" t="s">
        <v>18</v>
      </c>
      <c r="F22" s="2"/>
      <c r="G22" s="2" t="s">
        <v>56</v>
      </c>
      <c r="H22" s="3" t="s">
        <v>92</v>
      </c>
      <c r="I22" s="2"/>
      <c r="J22" s="3" t="s">
        <v>93</v>
      </c>
    </row>
    <row r="23" spans="1:10">
      <c r="A23" s="2">
        <v>26</v>
      </c>
      <c r="B23" s="2" t="s">
        <v>46</v>
      </c>
      <c r="C23" s="2" t="s">
        <v>94</v>
      </c>
      <c r="D23" s="3" t="s">
        <v>95</v>
      </c>
      <c r="E23" s="8" t="s">
        <v>61</v>
      </c>
      <c r="F23" s="2" t="s">
        <v>66</v>
      </c>
      <c r="G23" s="2" t="s">
        <v>56</v>
      </c>
      <c r="H23" s="3" t="s">
        <v>96</v>
      </c>
      <c r="I23" s="6" t="s">
        <v>52</v>
      </c>
      <c r="J23" s="3" t="s">
        <v>97</v>
      </c>
    </row>
    <row r="24" spans="1:10">
      <c r="A24" s="2">
        <v>27</v>
      </c>
      <c r="B24" s="2" t="s">
        <v>46</v>
      </c>
      <c r="C24" s="2" t="s">
        <v>98</v>
      </c>
      <c r="D24" s="3" t="s">
        <v>99</v>
      </c>
      <c r="E24" s="8" t="s">
        <v>61</v>
      </c>
      <c r="F24" s="2"/>
      <c r="G24" s="2" t="s">
        <v>13</v>
      </c>
      <c r="H24" s="3" t="s">
        <v>100</v>
      </c>
      <c r="I24" s="2"/>
      <c r="J24" s="3" t="s">
        <v>101</v>
      </c>
    </row>
    <row r="25" spans="1:10">
      <c r="A25" s="2">
        <v>28</v>
      </c>
      <c r="B25" s="2" t="s">
        <v>46</v>
      </c>
      <c r="C25" s="2" t="s">
        <v>102</v>
      </c>
      <c r="D25" s="3" t="s">
        <v>103</v>
      </c>
      <c r="E25" s="9" t="s">
        <v>66</v>
      </c>
      <c r="F25" s="2"/>
      <c r="G25" s="2" t="s">
        <v>13</v>
      </c>
      <c r="H25" s="3" t="s">
        <v>67</v>
      </c>
      <c r="I25" s="6" t="s">
        <v>52</v>
      </c>
      <c r="J25" s="3" t="s">
        <v>104</v>
      </c>
    </row>
    <row r="26" spans="1:10">
      <c r="A26" s="2">
        <v>29</v>
      </c>
      <c r="B26" s="2" t="s">
        <v>46</v>
      </c>
      <c r="C26" s="2" t="s">
        <v>102</v>
      </c>
      <c r="D26" s="3" t="s">
        <v>105</v>
      </c>
      <c r="E26" s="8" t="s">
        <v>61</v>
      </c>
      <c r="F26" s="2"/>
      <c r="G26" s="2" t="s">
        <v>13</v>
      </c>
      <c r="H26" s="3" t="s">
        <v>106</v>
      </c>
      <c r="I26" s="2"/>
      <c r="J26" s="3" t="s">
        <v>107</v>
      </c>
    </row>
    <row r="27" spans="1:10">
      <c r="A27" s="2">
        <v>30</v>
      </c>
      <c r="B27" s="2" t="s">
        <v>46</v>
      </c>
      <c r="C27" s="2" t="s">
        <v>108</v>
      </c>
      <c r="D27" s="3" t="s">
        <v>109</v>
      </c>
      <c r="E27" s="4" t="s">
        <v>12</v>
      </c>
      <c r="F27" s="2" t="s">
        <v>32</v>
      </c>
      <c r="G27" s="2" t="s">
        <v>13</v>
      </c>
      <c r="H27" s="3" t="s">
        <v>51</v>
      </c>
      <c r="I27" s="6" t="s">
        <v>52</v>
      </c>
      <c r="J27" s="3" t="s">
        <v>110</v>
      </c>
    </row>
    <row r="28" spans="1:10">
      <c r="A28" s="2">
        <v>31</v>
      </c>
      <c r="B28" s="2" t="s">
        <v>46</v>
      </c>
      <c r="C28" s="2" t="s">
        <v>111</v>
      </c>
      <c r="D28" s="3" t="s">
        <v>112</v>
      </c>
      <c r="E28" s="11" t="s">
        <v>113</v>
      </c>
      <c r="F28" s="2"/>
      <c r="G28" s="2" t="s">
        <v>13</v>
      </c>
      <c r="H28" s="3" t="s">
        <v>67</v>
      </c>
      <c r="I28" s="6" t="s">
        <v>52</v>
      </c>
      <c r="J28" s="3" t="s">
        <v>114</v>
      </c>
    </row>
    <row r="29" spans="1:10">
      <c r="A29" s="2">
        <v>32</v>
      </c>
      <c r="B29" s="2" t="s">
        <v>46</v>
      </c>
      <c r="C29" s="2" t="s">
        <v>115</v>
      </c>
      <c r="D29" s="3" t="s">
        <v>116</v>
      </c>
      <c r="E29" s="12" t="s">
        <v>32</v>
      </c>
      <c r="F29" s="2"/>
      <c r="G29" s="2" t="s">
        <v>13</v>
      </c>
      <c r="H29" s="3" t="s">
        <v>117</v>
      </c>
      <c r="I29" s="6" t="s">
        <v>52</v>
      </c>
      <c r="J29" s="3" t="s">
        <v>118</v>
      </c>
    </row>
    <row r="30" spans="1:10">
      <c r="A30" s="2">
        <v>33</v>
      </c>
      <c r="B30" s="2" t="s">
        <v>46</v>
      </c>
      <c r="C30" s="2" t="s">
        <v>119</v>
      </c>
      <c r="D30" s="3" t="s">
        <v>120</v>
      </c>
      <c r="E30" s="8" t="s">
        <v>61</v>
      </c>
      <c r="F30" s="2" t="s">
        <v>12</v>
      </c>
      <c r="G30" s="2" t="s">
        <v>13</v>
      </c>
      <c r="H30" s="3" t="s">
        <v>79</v>
      </c>
      <c r="I30" s="6" t="s">
        <v>52</v>
      </c>
      <c r="J30" s="3" t="s">
        <v>121</v>
      </c>
    </row>
    <row r="31" spans="1:10">
      <c r="A31" s="2">
        <v>34</v>
      </c>
      <c r="B31" s="2" t="s">
        <v>46</v>
      </c>
      <c r="C31" s="2" t="s">
        <v>122</v>
      </c>
      <c r="D31" s="3" t="s">
        <v>123</v>
      </c>
      <c r="E31" s="12" t="s">
        <v>32</v>
      </c>
      <c r="F31" s="2"/>
      <c r="G31" s="2" t="s">
        <v>13</v>
      </c>
      <c r="H31" s="3" t="s">
        <v>71</v>
      </c>
      <c r="I31" s="6" t="s">
        <v>52</v>
      </c>
      <c r="J31" s="3" t="s">
        <v>124</v>
      </c>
    </row>
    <row r="32" spans="1:10">
      <c r="A32" s="2">
        <v>35</v>
      </c>
      <c r="B32" s="2" t="s">
        <v>46</v>
      </c>
      <c r="C32" s="2" t="s">
        <v>122</v>
      </c>
      <c r="D32" s="3" t="s">
        <v>120</v>
      </c>
      <c r="E32" s="8" t="s">
        <v>61</v>
      </c>
      <c r="F32" s="2" t="s">
        <v>12</v>
      </c>
      <c r="G32" s="2" t="s">
        <v>13</v>
      </c>
      <c r="H32" s="3" t="s">
        <v>79</v>
      </c>
      <c r="I32" s="2"/>
      <c r="J32" s="3" t="s">
        <v>125</v>
      </c>
    </row>
    <row r="33" spans="1:10">
      <c r="A33" s="2">
        <v>36</v>
      </c>
      <c r="B33" s="2" t="s">
        <v>46</v>
      </c>
      <c r="C33" s="2" t="s">
        <v>126</v>
      </c>
      <c r="D33" s="3" t="s">
        <v>127</v>
      </c>
      <c r="E33" s="5" t="s">
        <v>49</v>
      </c>
      <c r="F33" s="2"/>
      <c r="G33" s="2" t="s">
        <v>13</v>
      </c>
      <c r="H33" s="3" t="s">
        <v>128</v>
      </c>
      <c r="I33" s="2"/>
      <c r="J33" s="3" t="s">
        <v>129</v>
      </c>
    </row>
    <row r="34" spans="1:10">
      <c r="A34" s="2">
        <v>37</v>
      </c>
      <c r="B34" s="2" t="s">
        <v>46</v>
      </c>
      <c r="C34" s="2" t="s">
        <v>130</v>
      </c>
      <c r="D34" s="3" t="s">
        <v>131</v>
      </c>
      <c r="E34" s="7" t="s">
        <v>18</v>
      </c>
      <c r="F34" s="2" t="s">
        <v>32</v>
      </c>
      <c r="G34" s="2" t="s">
        <v>13</v>
      </c>
      <c r="H34" s="3" t="s">
        <v>57</v>
      </c>
      <c r="I34" s="6" t="s">
        <v>52</v>
      </c>
      <c r="J34" s="3" t="s">
        <v>132</v>
      </c>
    </row>
    <row r="35" spans="1:10">
      <c r="A35" s="2">
        <v>38</v>
      </c>
      <c r="B35" s="2" t="s">
        <v>46</v>
      </c>
      <c r="C35" s="2" t="s">
        <v>133</v>
      </c>
      <c r="D35" s="3" t="s">
        <v>134</v>
      </c>
      <c r="E35" s="8" t="s">
        <v>61</v>
      </c>
      <c r="F35" s="2" t="s">
        <v>83</v>
      </c>
      <c r="G35" s="2" t="s">
        <v>19</v>
      </c>
      <c r="H35" s="3" t="s">
        <v>135</v>
      </c>
      <c r="I35" s="2"/>
      <c r="J35" s="3" t="s">
        <v>136</v>
      </c>
    </row>
    <row r="36" spans="1:10">
      <c r="A36" s="2">
        <v>39</v>
      </c>
      <c r="B36" s="2" t="s">
        <v>46</v>
      </c>
      <c r="C36" s="2" t="s">
        <v>137</v>
      </c>
      <c r="D36" s="3" t="s">
        <v>138</v>
      </c>
      <c r="E36" s="9" t="s">
        <v>66</v>
      </c>
      <c r="F36" s="2"/>
      <c r="G36" s="2" t="s">
        <v>13</v>
      </c>
      <c r="H36" s="3" t="s">
        <v>75</v>
      </c>
      <c r="I36" s="6" t="s">
        <v>52</v>
      </c>
      <c r="J36" s="3" t="s">
        <v>139</v>
      </c>
    </row>
    <row r="37" spans="1:10">
      <c r="A37" s="2">
        <v>40</v>
      </c>
      <c r="B37" s="2" t="s">
        <v>46</v>
      </c>
      <c r="C37" s="2" t="s">
        <v>140</v>
      </c>
      <c r="D37" s="3" t="s">
        <v>141</v>
      </c>
      <c r="E37" s="8" t="s">
        <v>61</v>
      </c>
      <c r="F37" s="2" t="s">
        <v>32</v>
      </c>
      <c r="G37" s="2" t="s">
        <v>13</v>
      </c>
      <c r="H37" s="3" t="s">
        <v>128</v>
      </c>
      <c r="I37" s="6" t="s">
        <v>52</v>
      </c>
      <c r="J37" s="3" t="s">
        <v>142</v>
      </c>
    </row>
    <row r="38" spans="1:10">
      <c r="A38" s="2">
        <v>41</v>
      </c>
      <c r="B38" s="2" t="s">
        <v>46</v>
      </c>
      <c r="C38" s="2" t="s">
        <v>143</v>
      </c>
      <c r="D38" s="3" t="s">
        <v>144</v>
      </c>
      <c r="E38" s="8" t="s">
        <v>61</v>
      </c>
      <c r="F38" s="2"/>
      <c r="G38" s="2" t="s">
        <v>13</v>
      </c>
      <c r="H38" s="3" t="s">
        <v>128</v>
      </c>
      <c r="I38" s="2"/>
      <c r="J38" s="3" t="s">
        <v>145</v>
      </c>
    </row>
    <row r="39" spans="1:10">
      <c r="A39" s="2">
        <v>42</v>
      </c>
      <c r="B39" s="2" t="s">
        <v>46</v>
      </c>
      <c r="C39" s="2" t="s">
        <v>146</v>
      </c>
      <c r="D39" s="3" t="s">
        <v>147</v>
      </c>
      <c r="E39" s="5" t="s">
        <v>49</v>
      </c>
      <c r="F39" s="2"/>
      <c r="G39" s="2" t="s">
        <v>13</v>
      </c>
      <c r="H39" s="3" t="s">
        <v>96</v>
      </c>
      <c r="I39" s="6" t="s">
        <v>52</v>
      </c>
      <c r="J39" s="3" t="s">
        <v>148</v>
      </c>
    </row>
    <row r="40" spans="1:10">
      <c r="A40" s="2">
        <v>43</v>
      </c>
      <c r="B40" s="2" t="s">
        <v>46</v>
      </c>
      <c r="C40" s="2" t="s">
        <v>149</v>
      </c>
      <c r="D40" s="3" t="s">
        <v>150</v>
      </c>
      <c r="E40" s="12" t="s">
        <v>32</v>
      </c>
      <c r="F40" s="2"/>
      <c r="G40" s="2" t="s">
        <v>151</v>
      </c>
      <c r="H40" s="3"/>
      <c r="I40" s="6" t="s">
        <v>52</v>
      </c>
      <c r="J40" s="3" t="s">
        <v>152</v>
      </c>
    </row>
    <row r="41" spans="1:10">
      <c r="A41" s="2">
        <v>44</v>
      </c>
      <c r="B41" s="2" t="s">
        <v>46</v>
      </c>
      <c r="C41" s="2" t="s">
        <v>153</v>
      </c>
      <c r="D41" s="3" t="s">
        <v>154</v>
      </c>
      <c r="E41" s="7" t="s">
        <v>18</v>
      </c>
      <c r="F41" s="2"/>
      <c r="G41" s="2" t="s">
        <v>151</v>
      </c>
      <c r="H41" s="3" t="s">
        <v>100</v>
      </c>
      <c r="I41" s="6" t="s">
        <v>52</v>
      </c>
      <c r="J41" s="3" t="s">
        <v>155</v>
      </c>
    </row>
    <row r="42" spans="1:10">
      <c r="A42" s="2">
        <v>45</v>
      </c>
      <c r="B42" s="2" t="s">
        <v>46</v>
      </c>
      <c r="C42" s="2" t="s">
        <v>156</v>
      </c>
      <c r="D42" s="3" t="s">
        <v>157</v>
      </c>
      <c r="E42" s="13" t="s">
        <v>158</v>
      </c>
      <c r="F42" s="2"/>
      <c r="G42" s="2" t="s">
        <v>13</v>
      </c>
      <c r="H42" s="3" t="s">
        <v>67</v>
      </c>
      <c r="I42" s="6" t="s">
        <v>52</v>
      </c>
      <c r="J42" s="3" t="s">
        <v>159</v>
      </c>
    </row>
    <row r="43" spans="1:10">
      <c r="A43" s="2">
        <v>46</v>
      </c>
      <c r="B43" s="2" t="s">
        <v>46</v>
      </c>
      <c r="C43" s="2" t="s">
        <v>160</v>
      </c>
      <c r="D43" s="3" t="s">
        <v>161</v>
      </c>
      <c r="E43" s="10" t="s">
        <v>83</v>
      </c>
      <c r="F43" s="2"/>
      <c r="G43" s="2" t="s">
        <v>13</v>
      </c>
      <c r="H43" s="3" t="s">
        <v>51</v>
      </c>
      <c r="I43" s="6" t="s">
        <v>52</v>
      </c>
      <c r="J43" s="3" t="s">
        <v>162</v>
      </c>
    </row>
    <row r="44" spans="1:10">
      <c r="A44" s="2">
        <v>47</v>
      </c>
      <c r="B44" s="2" t="s">
        <v>46</v>
      </c>
      <c r="C44" s="2" t="s">
        <v>163</v>
      </c>
      <c r="D44" s="3" t="s">
        <v>164</v>
      </c>
      <c r="E44" s="8" t="s">
        <v>61</v>
      </c>
      <c r="F44" s="2"/>
      <c r="G44" s="2" t="s">
        <v>13</v>
      </c>
      <c r="H44" s="3" t="s">
        <v>165</v>
      </c>
      <c r="I44" s="2"/>
      <c r="J44" s="3" t="s">
        <v>166</v>
      </c>
    </row>
    <row r="45" spans="1:10">
      <c r="A45" s="2">
        <v>48</v>
      </c>
      <c r="B45" s="2" t="s">
        <v>46</v>
      </c>
      <c r="C45" s="2" t="s">
        <v>167</v>
      </c>
      <c r="D45" s="3" t="s">
        <v>168</v>
      </c>
      <c r="E45" s="9" t="s">
        <v>66</v>
      </c>
      <c r="F45" s="2"/>
      <c r="G45" s="2" t="s">
        <v>13</v>
      </c>
      <c r="H45" s="3" t="s">
        <v>128</v>
      </c>
      <c r="I45" s="6" t="s">
        <v>52</v>
      </c>
      <c r="J45" s="3" t="s">
        <v>169</v>
      </c>
    </row>
    <row r="46" spans="1:10">
      <c r="A46" s="2">
        <v>49</v>
      </c>
      <c r="B46" s="2" t="s">
        <v>46</v>
      </c>
      <c r="C46" s="2" t="s">
        <v>170</v>
      </c>
      <c r="D46" s="3" t="s">
        <v>171</v>
      </c>
      <c r="E46" s="9" t="s">
        <v>66</v>
      </c>
      <c r="F46" s="2"/>
      <c r="G46" s="2" t="s">
        <v>172</v>
      </c>
      <c r="H46" s="3" t="s">
        <v>128</v>
      </c>
      <c r="I46" s="2"/>
      <c r="J46" s="3" t="s">
        <v>173</v>
      </c>
    </row>
    <row r="47" spans="1:10">
      <c r="A47" s="2">
        <v>50</v>
      </c>
      <c r="B47" s="2" t="s">
        <v>46</v>
      </c>
      <c r="C47" s="2" t="s">
        <v>174</v>
      </c>
      <c r="D47" s="3" t="s">
        <v>175</v>
      </c>
      <c r="E47" s="7" t="s">
        <v>18</v>
      </c>
      <c r="F47" s="2"/>
      <c r="G47" s="2" t="s">
        <v>13</v>
      </c>
      <c r="H47" s="3" t="s">
        <v>51</v>
      </c>
      <c r="I47" s="6"/>
      <c r="J47" s="3" t="s">
        <v>176</v>
      </c>
    </row>
    <row r="48" spans="1:10">
      <c r="A48" s="2">
        <v>51</v>
      </c>
      <c r="B48" s="2" t="s">
        <v>46</v>
      </c>
      <c r="C48" s="2" t="s">
        <v>177</v>
      </c>
      <c r="D48" s="3" t="s">
        <v>178</v>
      </c>
      <c r="E48" s="12" t="s">
        <v>32</v>
      </c>
      <c r="F48" s="2"/>
      <c r="G48" s="2" t="s">
        <v>13</v>
      </c>
      <c r="H48" s="3" t="s">
        <v>128</v>
      </c>
      <c r="I48" s="6" t="s">
        <v>52</v>
      </c>
      <c r="J48" s="3" t="s">
        <v>179</v>
      </c>
    </row>
    <row r="49" spans="1:10">
      <c r="A49" s="2">
        <v>52</v>
      </c>
      <c r="B49" s="2" t="s">
        <v>46</v>
      </c>
      <c r="C49" s="2" t="s">
        <v>180</v>
      </c>
      <c r="D49" s="3" t="s">
        <v>181</v>
      </c>
      <c r="E49" s="4" t="s">
        <v>12</v>
      </c>
      <c r="F49" s="2" t="s">
        <v>32</v>
      </c>
      <c r="G49" s="2" t="s">
        <v>13</v>
      </c>
      <c r="H49" s="3" t="s">
        <v>128</v>
      </c>
      <c r="I49" s="6" t="s">
        <v>52</v>
      </c>
      <c r="J49" s="3" t="s">
        <v>182</v>
      </c>
    </row>
    <row r="50" spans="1:10">
      <c r="A50" s="2">
        <v>53</v>
      </c>
      <c r="B50" s="2" t="s">
        <v>46</v>
      </c>
      <c r="C50" s="2" t="s">
        <v>183</v>
      </c>
      <c r="D50" s="3" t="s">
        <v>184</v>
      </c>
      <c r="E50" s="8" t="s">
        <v>61</v>
      </c>
      <c r="F50" s="2"/>
      <c r="G50" s="2" t="s">
        <v>13</v>
      </c>
      <c r="H50" s="3" t="s">
        <v>165</v>
      </c>
      <c r="I50" s="2"/>
      <c r="J50" s="3" t="s">
        <v>185</v>
      </c>
    </row>
    <row r="51" spans="1:10">
      <c r="A51" s="2">
        <v>54</v>
      </c>
      <c r="B51" s="2" t="s">
        <v>46</v>
      </c>
      <c r="C51" s="2" t="s">
        <v>186</v>
      </c>
      <c r="D51" s="3" t="s">
        <v>187</v>
      </c>
      <c r="E51" s="12" t="s">
        <v>32</v>
      </c>
      <c r="F51" s="2"/>
      <c r="G51" s="2" t="s">
        <v>13</v>
      </c>
      <c r="H51" s="3" t="s">
        <v>75</v>
      </c>
      <c r="I51" s="2"/>
      <c r="J51" s="3" t="s">
        <v>188</v>
      </c>
    </row>
    <row r="52" spans="1:10">
      <c r="A52" s="2">
        <v>55</v>
      </c>
      <c r="B52" s="2" t="s">
        <v>46</v>
      </c>
      <c r="C52" s="2" t="s">
        <v>189</v>
      </c>
      <c r="D52" s="3" t="s">
        <v>190</v>
      </c>
      <c r="E52" s="8" t="s">
        <v>61</v>
      </c>
      <c r="F52" s="2"/>
      <c r="G52" s="2" t="s">
        <v>13</v>
      </c>
      <c r="H52" s="3" t="s">
        <v>191</v>
      </c>
      <c r="I52" s="6" t="s">
        <v>52</v>
      </c>
      <c r="J52" s="3" t="s">
        <v>192</v>
      </c>
    </row>
    <row r="53" spans="1:10">
      <c r="A53" s="2">
        <v>56</v>
      </c>
      <c r="B53" s="2" t="s">
        <v>46</v>
      </c>
      <c r="C53" s="2" t="s">
        <v>193</v>
      </c>
      <c r="D53" s="3" t="s">
        <v>194</v>
      </c>
      <c r="E53" s="8" t="s">
        <v>61</v>
      </c>
      <c r="F53" s="2"/>
      <c r="G53" s="2" t="s">
        <v>13</v>
      </c>
      <c r="H53" s="3" t="s">
        <v>165</v>
      </c>
      <c r="I53" s="2"/>
      <c r="J53" s="3" t="s">
        <v>195</v>
      </c>
    </row>
    <row r="54" spans="1:10">
      <c r="A54" s="2">
        <v>57</v>
      </c>
      <c r="B54" s="2" t="s">
        <v>46</v>
      </c>
      <c r="C54" s="2" t="s">
        <v>193</v>
      </c>
      <c r="D54" s="3" t="s">
        <v>196</v>
      </c>
      <c r="E54" s="8" t="s">
        <v>61</v>
      </c>
      <c r="F54" s="2"/>
      <c r="G54" s="2" t="s">
        <v>13</v>
      </c>
      <c r="H54" s="3" t="s">
        <v>67</v>
      </c>
      <c r="I54" s="6" t="s">
        <v>52</v>
      </c>
      <c r="J54" s="3" t="s">
        <v>197</v>
      </c>
    </row>
    <row r="55" spans="1:10">
      <c r="A55" s="2">
        <v>58</v>
      </c>
      <c r="B55" s="2" t="s">
        <v>46</v>
      </c>
      <c r="C55" s="2" t="s">
        <v>198</v>
      </c>
      <c r="D55" s="3" t="s">
        <v>199</v>
      </c>
      <c r="E55" s="8" t="s">
        <v>61</v>
      </c>
      <c r="F55" s="2"/>
      <c r="G55" s="2" t="s">
        <v>13</v>
      </c>
      <c r="H55" s="3" t="s">
        <v>165</v>
      </c>
      <c r="I55" s="2"/>
      <c r="J55" s="3" t="s">
        <v>200</v>
      </c>
    </row>
    <row r="56" spans="1:10">
      <c r="A56" s="2">
        <v>62</v>
      </c>
      <c r="B56" s="2" t="s">
        <v>46</v>
      </c>
      <c r="C56" s="2" t="s">
        <v>203</v>
      </c>
      <c r="D56" s="3" t="s">
        <v>204</v>
      </c>
      <c r="E56" s="10" t="s">
        <v>83</v>
      </c>
      <c r="F56" s="2"/>
      <c r="G56" s="2" t="s">
        <v>13</v>
      </c>
      <c r="H56" s="3" t="s">
        <v>128</v>
      </c>
      <c r="I56" s="2"/>
      <c r="J56" s="3" t="s">
        <v>254</v>
      </c>
    </row>
    <row r="57" spans="1:10">
      <c r="A57" s="2">
        <v>63</v>
      </c>
      <c r="B57" s="2" t="s">
        <v>46</v>
      </c>
      <c r="C57" s="2" t="s">
        <v>205</v>
      </c>
      <c r="D57" s="3" t="s">
        <v>202</v>
      </c>
      <c r="E57" s="4" t="s">
        <v>12</v>
      </c>
      <c r="F57" s="2" t="s">
        <v>49</v>
      </c>
      <c r="G57" s="2" t="s">
        <v>13</v>
      </c>
      <c r="H57" s="3" t="s">
        <v>128</v>
      </c>
      <c r="I57" s="6" t="s">
        <v>52</v>
      </c>
      <c r="J57" s="3" t="s">
        <v>255</v>
      </c>
    </row>
    <row r="58" spans="1:10">
      <c r="A58" s="2">
        <v>64</v>
      </c>
      <c r="B58" s="2" t="s">
        <v>46</v>
      </c>
      <c r="C58" s="2" t="s">
        <v>206</v>
      </c>
      <c r="D58" s="3" t="s">
        <v>207</v>
      </c>
      <c r="E58" s="4" t="s">
        <v>12</v>
      </c>
      <c r="F58" s="2" t="s">
        <v>49</v>
      </c>
      <c r="G58" s="2" t="s">
        <v>13</v>
      </c>
      <c r="H58" s="3" t="s">
        <v>128</v>
      </c>
      <c r="I58" s="6" t="s">
        <v>52</v>
      </c>
      <c r="J58" s="3" t="s">
        <v>208</v>
      </c>
    </row>
    <row r="59" spans="1:10">
      <c r="A59" s="2">
        <v>65</v>
      </c>
      <c r="B59" s="2" t="s">
        <v>46</v>
      </c>
      <c r="C59" s="2" t="s">
        <v>209</v>
      </c>
      <c r="D59" s="3" t="s">
        <v>210</v>
      </c>
      <c r="E59" s="4" t="s">
        <v>12</v>
      </c>
      <c r="F59" s="2" t="s">
        <v>49</v>
      </c>
      <c r="G59" s="2" t="s">
        <v>13</v>
      </c>
      <c r="H59" s="3" t="s">
        <v>128</v>
      </c>
      <c r="I59" s="6" t="s">
        <v>52</v>
      </c>
      <c r="J59" s="3" t="s">
        <v>211</v>
      </c>
    </row>
    <row r="60" spans="1:10">
      <c r="A60" s="2">
        <v>66</v>
      </c>
      <c r="B60" s="2" t="s">
        <v>46</v>
      </c>
      <c r="C60" s="2" t="s">
        <v>212</v>
      </c>
      <c r="D60" s="3" t="s">
        <v>213</v>
      </c>
      <c r="E60" s="12" t="s">
        <v>32</v>
      </c>
      <c r="F60" s="2"/>
      <c r="G60" s="2" t="s">
        <v>13</v>
      </c>
      <c r="H60" s="3" t="s">
        <v>75</v>
      </c>
      <c r="I60" s="2"/>
      <c r="J60" s="3" t="s">
        <v>214</v>
      </c>
    </row>
    <row r="61" spans="1:10">
      <c r="A61" s="2">
        <v>67</v>
      </c>
      <c r="B61" s="2" t="s">
        <v>46</v>
      </c>
      <c r="C61" s="2" t="s">
        <v>215</v>
      </c>
      <c r="D61" s="3" t="s">
        <v>216</v>
      </c>
      <c r="E61" s="7" t="s">
        <v>18</v>
      </c>
      <c r="F61" s="2" t="s">
        <v>32</v>
      </c>
      <c r="G61" s="2" t="s">
        <v>151</v>
      </c>
      <c r="H61" s="3" t="s">
        <v>217</v>
      </c>
      <c r="I61" s="6" t="s">
        <v>52</v>
      </c>
      <c r="J61" s="3" t="s">
        <v>218</v>
      </c>
    </row>
    <row r="62" spans="1:10">
      <c r="A62" s="2">
        <v>68</v>
      </c>
      <c r="B62" s="2" t="s">
        <v>46</v>
      </c>
      <c r="C62" s="2" t="s">
        <v>219</v>
      </c>
      <c r="D62" s="3" t="s">
        <v>220</v>
      </c>
      <c r="E62" s="9" t="s">
        <v>66</v>
      </c>
      <c r="F62" s="2" t="s">
        <v>83</v>
      </c>
      <c r="G62" s="2" t="s">
        <v>13</v>
      </c>
      <c r="H62" s="3" t="s">
        <v>51</v>
      </c>
      <c r="I62" s="6" t="s">
        <v>52</v>
      </c>
      <c r="J62" s="3" t="s">
        <v>221</v>
      </c>
    </row>
    <row r="63" spans="1:10">
      <c r="A63" s="2">
        <v>69</v>
      </c>
      <c r="B63" s="2" t="s">
        <v>46</v>
      </c>
      <c r="C63" s="2" t="s">
        <v>222</v>
      </c>
      <c r="D63" s="3" t="s">
        <v>223</v>
      </c>
      <c r="E63" s="9" t="s">
        <v>66</v>
      </c>
      <c r="F63" s="2" t="s">
        <v>83</v>
      </c>
      <c r="G63" s="2" t="s">
        <v>13</v>
      </c>
      <c r="H63" s="3" t="s">
        <v>75</v>
      </c>
      <c r="I63" s="6" t="s">
        <v>52</v>
      </c>
      <c r="J63" s="3" t="s">
        <v>224</v>
      </c>
    </row>
    <row r="64" spans="1:10">
      <c r="A64" s="2">
        <v>70</v>
      </c>
      <c r="B64" s="2" t="s">
        <v>46</v>
      </c>
      <c r="C64" s="2" t="s">
        <v>225</v>
      </c>
      <c r="D64" s="3" t="s">
        <v>226</v>
      </c>
      <c r="E64" s="8" t="s">
        <v>61</v>
      </c>
      <c r="F64" s="2" t="s">
        <v>12</v>
      </c>
      <c r="G64" s="2" t="s">
        <v>13</v>
      </c>
      <c r="H64" s="3" t="s">
        <v>191</v>
      </c>
      <c r="I64" s="6"/>
      <c r="J64" s="3" t="s">
        <v>227</v>
      </c>
    </row>
    <row r="65" spans="1:10">
      <c r="A65" s="2">
        <v>71</v>
      </c>
      <c r="B65" s="2" t="s">
        <v>46</v>
      </c>
      <c r="C65" s="2" t="s">
        <v>228</v>
      </c>
      <c r="D65" s="3" t="s">
        <v>229</v>
      </c>
      <c r="E65" s="5" t="s">
        <v>49</v>
      </c>
      <c r="F65" s="2"/>
      <c r="G65" s="2" t="s">
        <v>13</v>
      </c>
      <c r="H65" s="3" t="s">
        <v>51</v>
      </c>
      <c r="I65" s="6" t="s">
        <v>52</v>
      </c>
      <c r="J65" s="3" t="s">
        <v>230</v>
      </c>
    </row>
    <row r="66" spans="1:10">
      <c r="A66" s="2">
        <v>72</v>
      </c>
      <c r="B66" s="2" t="s">
        <v>46</v>
      </c>
      <c r="C66" s="2" t="s">
        <v>231</v>
      </c>
      <c r="D66" s="3" t="s">
        <v>232</v>
      </c>
      <c r="E66" s="4" t="s">
        <v>12</v>
      </c>
      <c r="F66" s="2"/>
      <c r="G66" s="2" t="s">
        <v>13</v>
      </c>
      <c r="H66" s="3"/>
      <c r="I66" s="2"/>
      <c r="J66" s="3" t="s">
        <v>233</v>
      </c>
    </row>
  </sheetData>
  <autoFilter ref="A1:J66" xr:uid="{00000000-0009-0000-0000-000000000000}"/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"/>
  <cols>
    <col min="1" max="1" width="16" customWidth="1"/>
    <col min="2" max="3" width="10" customWidth="1"/>
    <col min="4" max="4" width="8" customWidth="1"/>
    <col min="5" max="6" width="30" customWidth="1"/>
  </cols>
  <sheetData>
    <row r="1" spans="1:6" ht="15">
      <c r="A1" s="1" t="s">
        <v>234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</row>
    <row r="2" spans="1:6">
      <c r="A2" s="14" t="s">
        <v>61</v>
      </c>
      <c r="B2" s="2">
        <f>COUNTIFS(新聞稿資料庫!E2:E66,A2,新聞稿資料庫!B2:B66,"2024")</f>
        <v>0</v>
      </c>
      <c r="C2" s="2">
        <f>COUNTIFS(新聞稿資料庫!E2:E66,A2,新聞稿資料庫!B2:B66,"2025")</f>
        <v>17</v>
      </c>
      <c r="D2" s="2">
        <f t="shared" ref="D2:D12" si="0">SUM(B2:C2)</f>
        <v>17</v>
      </c>
      <c r="E2" s="15"/>
      <c r="F2" s="15"/>
    </row>
    <row r="3" spans="1:6">
      <c r="A3" s="16" t="s">
        <v>12</v>
      </c>
      <c r="B3" s="2">
        <f>COUNTIFS(新聞稿資料庫!E2:E66,A3,新聞稿資料庫!B2:B66,"2024")</f>
        <v>10</v>
      </c>
      <c r="C3" s="2">
        <f>COUNTIFS(新聞稿資料庫!E2:E66,A3,新聞稿資料庫!B2:B66,"2025")</f>
        <v>7</v>
      </c>
      <c r="D3" s="2">
        <f t="shared" si="0"/>
        <v>17</v>
      </c>
      <c r="E3" s="15"/>
      <c r="F3" s="15"/>
    </row>
    <row r="4" spans="1:6">
      <c r="A4" s="17" t="s">
        <v>66</v>
      </c>
      <c r="B4" s="2">
        <f>COUNTIFS(新聞稿資料庫!E2:E66,A4,新聞稿資料庫!B2:B66,"2024")</f>
        <v>0</v>
      </c>
      <c r="C4" s="2">
        <f>COUNTIFS(新聞稿資料庫!E2:E66,A4,新聞稿資料庫!B2:B66,"2025")</f>
        <v>10</v>
      </c>
      <c r="D4" s="2">
        <f t="shared" si="0"/>
        <v>10</v>
      </c>
      <c r="E4" s="15"/>
      <c r="F4" s="15"/>
    </row>
    <row r="5" spans="1:6">
      <c r="A5" s="18" t="s">
        <v>18</v>
      </c>
      <c r="B5" s="2">
        <f>COUNTIFS(新聞稿資料庫!E2:E66,A5,新聞稿資料庫!B2:B66,"2024")</f>
        <v>0</v>
      </c>
      <c r="C5" s="2">
        <f>COUNTIFS(新聞稿資料庫!E2:E66,A5,新聞稿資料庫!B2:B66,"2025")</f>
        <v>6</v>
      </c>
      <c r="D5" s="2">
        <f t="shared" si="0"/>
        <v>6</v>
      </c>
      <c r="E5" s="15"/>
      <c r="F5" s="15"/>
    </row>
    <row r="6" spans="1:6">
      <c r="A6" s="19" t="s">
        <v>32</v>
      </c>
      <c r="B6" s="2">
        <f>COUNTIFS(新聞稿資料庫!E2:E66,A6,新聞稿資料庫!B2:B66,"2024")</f>
        <v>0</v>
      </c>
      <c r="C6" s="2">
        <f>COUNTIFS(新聞稿資料庫!E2:E66,A6,新聞稿資料庫!B2:B66,"2025")</f>
        <v>6</v>
      </c>
      <c r="D6" s="2">
        <f t="shared" si="0"/>
        <v>6</v>
      </c>
      <c r="E6" s="15"/>
      <c r="F6" s="15"/>
    </row>
    <row r="7" spans="1:6">
      <c r="A7" s="20" t="s">
        <v>49</v>
      </c>
      <c r="B7" s="2">
        <f>COUNTIFS(新聞稿資料庫!E2:E66,A7,新聞稿資料庫!B2:B66,"2024")</f>
        <v>0</v>
      </c>
      <c r="C7" s="2">
        <f>COUNTIFS(新聞稿資料庫!E2:E66,A7,新聞稿資料庫!B2:B66,"2025")</f>
        <v>4</v>
      </c>
      <c r="D7" s="2">
        <f t="shared" si="0"/>
        <v>4</v>
      </c>
      <c r="E7" s="15"/>
      <c r="F7" s="15"/>
    </row>
    <row r="8" spans="1:6">
      <c r="A8" s="21" t="s">
        <v>83</v>
      </c>
      <c r="B8" s="2">
        <f>COUNTIFS(新聞稿資料庫!E2:E66,A8,新聞稿資料庫!B2:B66,"2024")</f>
        <v>0</v>
      </c>
      <c r="C8" s="2">
        <f>COUNTIFS(新聞稿資料庫!E2:E66,A8,新聞稿資料庫!B2:B66,"2025")</f>
        <v>3</v>
      </c>
      <c r="D8" s="2">
        <f t="shared" si="0"/>
        <v>3</v>
      </c>
      <c r="E8" s="15"/>
      <c r="F8" s="15"/>
    </row>
    <row r="9" spans="1:6">
      <c r="A9" s="22" t="s">
        <v>240</v>
      </c>
      <c r="B9" s="2">
        <f>COUNTIFS(新聞稿資料庫!E2:E66,A9,新聞稿資料庫!B2:B66,"2024")</f>
        <v>0</v>
      </c>
      <c r="C9" s="2">
        <f>COUNTIFS(新聞稿資料庫!E2:E66,A9,新聞稿資料庫!B2:B66,"2025")</f>
        <v>0</v>
      </c>
      <c r="D9" s="2">
        <f t="shared" si="0"/>
        <v>0</v>
      </c>
      <c r="E9" s="15"/>
      <c r="F9" s="15"/>
    </row>
    <row r="10" spans="1:6">
      <c r="A10" s="23" t="s">
        <v>201</v>
      </c>
      <c r="B10" s="2">
        <f>COUNTIFS(新聞稿資料庫!E2:E66,A10,新聞稿資料庫!B2:B66,"2024")</f>
        <v>0</v>
      </c>
      <c r="C10" s="2">
        <f>COUNTIFS(新聞稿資料庫!E2:E66,A10,新聞稿資料庫!B2:B66,"2025")</f>
        <v>0</v>
      </c>
      <c r="D10" s="2">
        <f t="shared" si="0"/>
        <v>0</v>
      </c>
      <c r="E10" s="15"/>
      <c r="F10" s="15"/>
    </row>
    <row r="11" spans="1:6">
      <c r="A11" s="24" t="s">
        <v>113</v>
      </c>
      <c r="B11" s="2">
        <f>COUNTIFS(新聞稿資料庫!E2:E66,A11,新聞稿資料庫!B2:B66,"2024")</f>
        <v>0</v>
      </c>
      <c r="C11" s="2">
        <f>COUNTIFS(新聞稿資料庫!E2:E66,A11,新聞稿資料庫!B2:B66,"2025")</f>
        <v>1</v>
      </c>
      <c r="D11" s="2">
        <f t="shared" si="0"/>
        <v>1</v>
      </c>
      <c r="E11" s="15"/>
      <c r="F11" s="15"/>
    </row>
    <row r="12" spans="1:6">
      <c r="A12" s="25" t="s">
        <v>158</v>
      </c>
      <c r="B12" s="2">
        <f>COUNTIFS(新聞稿資料庫!E2:E66,A12,新聞稿資料庫!B2:B66,"2024")</f>
        <v>0</v>
      </c>
      <c r="C12" s="2">
        <f>COUNTIFS(新聞稿資料庫!E2:E66,A12,新聞稿資料庫!B2:B66,"2025")</f>
        <v>1</v>
      </c>
      <c r="D12" s="2">
        <f t="shared" si="0"/>
        <v>1</v>
      </c>
      <c r="E12" s="15"/>
      <c r="F12" s="15"/>
    </row>
    <row r="13" spans="1:6">
      <c r="A13" s="26" t="s">
        <v>237</v>
      </c>
      <c r="B13" s="27">
        <f>SUM(B2:B12)</f>
        <v>10</v>
      </c>
      <c r="C13" s="27">
        <f>SUM(C2:C12)</f>
        <v>55</v>
      </c>
      <c r="D13" s="27">
        <f>SUM(D2:D12)</f>
        <v>65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"/>
  <cols>
    <col min="1" max="1" width="8" customWidth="1"/>
    <col min="2" max="3" width="10" customWidth="1"/>
    <col min="4" max="4" width="8" customWidth="1"/>
  </cols>
  <sheetData>
    <row r="1" spans="1:4" ht="15">
      <c r="A1" s="1" t="s">
        <v>241</v>
      </c>
      <c r="B1" s="1" t="s">
        <v>235</v>
      </c>
      <c r="C1" s="1" t="s">
        <v>236</v>
      </c>
      <c r="D1" s="1" t="s">
        <v>237</v>
      </c>
    </row>
    <row r="2" spans="1:4">
      <c r="A2" s="2" t="s">
        <v>242</v>
      </c>
      <c r="B2" s="2">
        <f>COUNTIFS(新聞稿資料庫!B2:B66,"2024",新聞稿資料庫!C2:C66,"2024/01/*")</f>
        <v>2</v>
      </c>
      <c r="C2" s="2">
        <f>COUNTIFS(新聞稿資料庫!B2:B66,"2025",新聞稿資料庫!C2:C66,"2025/01/*")</f>
        <v>10</v>
      </c>
      <c r="D2" s="2">
        <f t="shared" ref="D2:D13" si="0">SUM(B2:C2)</f>
        <v>12</v>
      </c>
    </row>
    <row r="3" spans="1:4">
      <c r="A3" s="2" t="s">
        <v>243</v>
      </c>
      <c r="B3" s="2">
        <f>COUNTIFS(新聞稿資料庫!B2:B66,"2024",新聞稿資料庫!C2:C66,"2024/02/*")</f>
        <v>0</v>
      </c>
      <c r="C3" s="2">
        <f>COUNTIFS(新聞稿資料庫!B2:B66,"2025",新聞稿資料庫!C2:C66,"2025/02/*")</f>
        <v>2</v>
      </c>
      <c r="D3" s="2">
        <f t="shared" si="0"/>
        <v>2</v>
      </c>
    </row>
    <row r="4" spans="1:4">
      <c r="A4" s="2" t="s">
        <v>244</v>
      </c>
      <c r="B4" s="2">
        <f>COUNTIFS(新聞稿資料庫!B2:B66,"2024",新聞稿資料庫!C2:C66,"2024/03/*")</f>
        <v>1</v>
      </c>
      <c r="C4" s="2">
        <f>COUNTIFS(新聞稿資料庫!B2:B66,"2025",新聞稿資料庫!C2:C66,"2025/03/*")</f>
        <v>5</v>
      </c>
      <c r="D4" s="2">
        <f t="shared" si="0"/>
        <v>6</v>
      </c>
    </row>
    <row r="5" spans="1:4">
      <c r="A5" s="2" t="s">
        <v>245</v>
      </c>
      <c r="B5" s="2">
        <f>COUNTIFS(新聞稿資料庫!B2:B66,"2024",新聞稿資料庫!C2:C66,"2024/04/*")</f>
        <v>2</v>
      </c>
      <c r="C5" s="2">
        <f>COUNTIFS(新聞稿資料庫!B2:B66,"2025",新聞稿資料庫!C2:C66,"2025/04/*")</f>
        <v>4</v>
      </c>
      <c r="D5" s="2">
        <f t="shared" si="0"/>
        <v>6</v>
      </c>
    </row>
    <row r="6" spans="1:4">
      <c r="A6" s="2" t="s">
        <v>246</v>
      </c>
      <c r="B6" s="2">
        <f>COUNTIFS(新聞稿資料庫!B2:B66,"2024",新聞稿資料庫!C2:C66,"2024/05/*")</f>
        <v>0</v>
      </c>
      <c r="C6" s="2">
        <f>COUNTIFS(新聞稿資料庫!B2:B66,"2025",新聞稿資料庫!C2:C66,"2025/05/*")</f>
        <v>4</v>
      </c>
      <c r="D6" s="2">
        <f t="shared" si="0"/>
        <v>4</v>
      </c>
    </row>
    <row r="7" spans="1:4">
      <c r="A7" s="2" t="s">
        <v>247</v>
      </c>
      <c r="B7" s="2">
        <f>COUNTIFS(新聞稿資料庫!B2:B66,"2024",新聞稿資料庫!C2:C66,"2024/06/*")</f>
        <v>0</v>
      </c>
      <c r="C7" s="2">
        <f>COUNTIFS(新聞稿資料庫!B2:B66,"2025",新聞稿資料庫!C2:C66,"2025/06/*")</f>
        <v>4</v>
      </c>
      <c r="D7" s="2">
        <f t="shared" si="0"/>
        <v>4</v>
      </c>
    </row>
    <row r="8" spans="1:4">
      <c r="A8" s="2" t="s">
        <v>248</v>
      </c>
      <c r="B8" s="2">
        <f>COUNTIFS(新聞稿資料庫!B2:B66,"2024",新聞稿資料庫!C2:C66,"2024/07/*")</f>
        <v>1</v>
      </c>
      <c r="C8" s="2">
        <f>COUNTIFS(新聞稿資料庫!B2:B66,"2025",新聞稿資料庫!C2:C66,"2025/07/*")</f>
        <v>3</v>
      </c>
      <c r="D8" s="2">
        <f t="shared" si="0"/>
        <v>4</v>
      </c>
    </row>
    <row r="9" spans="1:4">
      <c r="A9" s="2" t="s">
        <v>249</v>
      </c>
      <c r="B9" s="2">
        <f>COUNTIFS(新聞稿資料庫!B2:B66,"2024",新聞稿資料庫!C2:C66,"2024/08/*")</f>
        <v>1</v>
      </c>
      <c r="C9" s="2">
        <f>COUNTIFS(新聞稿資料庫!B2:B66,"2025",新聞稿資料庫!C2:C66,"2025/08/*")</f>
        <v>4</v>
      </c>
      <c r="D9" s="2">
        <f t="shared" si="0"/>
        <v>5</v>
      </c>
    </row>
    <row r="10" spans="1:4">
      <c r="A10" s="2" t="s">
        <v>250</v>
      </c>
      <c r="B10" s="2">
        <f>COUNTIFS(新聞稿資料庫!B2:B66,"2024",新聞稿資料庫!C2:C66,"2024/09/*")</f>
        <v>2</v>
      </c>
      <c r="C10" s="2">
        <f>COUNTIFS(新聞稿資料庫!B2:B66,"2025",新聞稿資料庫!C2:C66,"2025/09/*")</f>
        <v>2</v>
      </c>
      <c r="D10" s="2">
        <f t="shared" si="0"/>
        <v>4</v>
      </c>
    </row>
    <row r="11" spans="1:4">
      <c r="A11" s="2" t="s">
        <v>251</v>
      </c>
      <c r="B11" s="2">
        <f>COUNTIFS(新聞稿資料庫!B2:B66,"2024",新聞稿資料庫!C2:C66,"2024/10/*")</f>
        <v>0</v>
      </c>
      <c r="C11" s="2">
        <f>COUNTIFS(新聞稿資料庫!B2:B66,"2025",新聞稿資料庫!C2:C66,"2025/10/*")</f>
        <v>6</v>
      </c>
      <c r="D11" s="2">
        <f t="shared" si="0"/>
        <v>6</v>
      </c>
    </row>
    <row r="12" spans="1:4">
      <c r="A12" s="2" t="s">
        <v>252</v>
      </c>
      <c r="B12" s="2">
        <f>COUNTIFS(新聞稿資料庫!B2:B66,"2024",新聞稿資料庫!C2:C66,"2024/11/*")</f>
        <v>0</v>
      </c>
      <c r="C12" s="2">
        <f>COUNTIFS(新聞稿資料庫!B2:B66,"2025",新聞稿資料庫!C2:C66,"2025/11/*")</f>
        <v>4</v>
      </c>
      <c r="D12" s="2">
        <f t="shared" si="0"/>
        <v>4</v>
      </c>
    </row>
    <row r="13" spans="1:4">
      <c r="A13" s="2" t="s">
        <v>253</v>
      </c>
      <c r="B13" s="2">
        <f>COUNTIFS(新聞稿資料庫!B2:B66,"2024",新聞稿資料庫!C2:C66,"2024/12/*")</f>
        <v>0</v>
      </c>
      <c r="C13" s="2">
        <f>COUNTIFS(新聞稿資料庫!B2:B66,"2025",新聞稿資料庫!C2:C66,"2025/12/*")</f>
        <v>7</v>
      </c>
      <c r="D13" s="2">
        <f t="shared" si="0"/>
        <v>7</v>
      </c>
    </row>
    <row r="14" spans="1:4">
      <c r="A14" s="26" t="s">
        <v>237</v>
      </c>
      <c r="B14" s="27">
        <f>SUM(B2:B13)</f>
        <v>9</v>
      </c>
      <c r="C14" s="27">
        <f>SUM(C2:C13)</f>
        <v>55</v>
      </c>
      <c r="D14" s="27">
        <f>SUM(D2:D13)</f>
        <v>64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新聞稿資料庫</vt:lpstr>
      <vt:lpstr>議題追蹤總覽</vt:lpstr>
      <vt:lpstr>年度月度統計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office365</cp:lastModifiedBy>
  <dcterms:created xsi:type="dcterms:W3CDTF">2026-03-06T14:19:08Z</dcterms:created>
  <dcterms:modified xsi:type="dcterms:W3CDTF">2026-03-06T14:33:19Z</dcterms:modified>
</cp:coreProperties>
</file>